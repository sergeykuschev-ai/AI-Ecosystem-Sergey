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3a2b2d20e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49537efe72104bc2"/>
    <x:sheet xmlns:r="http://schemas.openxmlformats.org/officeDocument/2006/relationships" name="Инструкция" sheetId="2" r:id="R5ade926658ee448e"/>
    <x:sheet xmlns:r="http://schemas.openxmlformats.org/officeDocument/2006/relationships" name="Настройки" sheetId="3" r:id="Rdec384e9e0224a61"/>
    <x:sheet xmlns:r="http://schemas.openxmlformats.org/officeDocument/2006/relationships" name="Задачи_пробелы" sheetId="4" r:id="Rebcd658aa9c04b0d"/>
    <x:sheet xmlns:r="http://schemas.openxmlformats.org/officeDocument/2006/relationships" name="Сводка" sheetId="5" r:id="R8cdd7db572b949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&quot;₽&quot;"/>
    <x:numFmt numFmtId="201" formatCode="0"/>
    <x:numFmt numFmtId="202" formatCode="0.0"/>
  </x:numFmts>
  <x:fonts count="4">
    <x:font>
      <x:sz val="11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57C00"/>
      </x:patternFill>
    </x:fill>
    <x:fill>
      <x:patternFill patternType="solid">
        <x:fgColor rgb="FF4CAF50"/>
      </x:patternFill>
    </x:fill>
    <x:fill>
      <x:patternFill patternType="solid">
        <x:fgColor rgb="FF4CAF50"/>
      </x:patternFill>
    </x:fill>
    <x:fill>
      <x:patternFill patternType="solid">
        <x:fgColor rgb="FFF57C00"/>
      </x:patternFill>
    </x:fill>
    <x:fill>
      <x:patternFill patternType="solid">
        <x:fgColor rgb="FFF57C00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7">
    <x:dxf>
      <x:fill>
        <x:patternFill>
          <x:bgColor rgb="FFE2F0D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54c86ac094fca" /><Relationship Type="http://schemas.openxmlformats.org/officeDocument/2006/relationships/theme" Target="/xl/theme/theme1.xml" Id="R3a6508ab746e49c2" /><Relationship Type="http://schemas.openxmlformats.org/officeDocument/2006/relationships/sharedStrings" Target="/xl/sharedStrings.xml" Id="R3c45019a59b841db" /><Relationship Type="http://schemas.openxmlformats.org/officeDocument/2006/relationships/worksheet" Target="/xl/worksheets/sheet1.xml" Id="R49537efe72104bc2" /><Relationship Type="http://schemas.openxmlformats.org/officeDocument/2006/relationships/worksheet" Target="/xl/worksheets/sheet2.xml" Id="R5ade926658ee448e" /><Relationship Type="http://schemas.openxmlformats.org/officeDocument/2006/relationships/worksheet" Target="/xl/worksheets/sheet3.xml" Id="Rdec384e9e0224a61" /><Relationship Type="http://schemas.openxmlformats.org/officeDocument/2006/relationships/worksheet" Target="/xl/worksheets/sheet4.xml" Id="Rebcd658aa9c04b0d" /><Relationship Type="http://schemas.openxmlformats.org/officeDocument/2006/relationships/worksheet" Target="/xl/worksheets/sheet5.xml" Id="R8cdd7db572b949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bde01236bc46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Ассортимент по блокам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SKU</c:v>
          </c:tx>
          <c:cat>
            <c:strRef>
              <c:f>'Сводка'!$D$2:$D$6</c:f>
              <c:strCache>
                <c:ptCount val="0"/>
              </c:strCache>
            </c:strRef>
          </c:cat>
          <c:val>
            <c:numRef>
              <c:f>'Сводка'!$E$2:$E$6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bde01236bc46f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oiletHygieneOwnerReview" displayName="ToiletHygieneOwnerReview" ref="A1:W80" headerRowCount="1" totalsRowCount="0" totalsRowShown="0">
  <x:tableColumns count="23">
    <x:tableColumn id="1" name="SKU_ID"/>
    <x:tableColumn id="2" name="Блок"/>
    <x:tableColumn id="3" name="Подкатегория"/>
    <x:tableColumn id="4" name="Животное"/>
    <x:tableColumn id="5" name="Статус"/>
    <x:tableColumn id="6" name="Приоритет"/>
    <x:tableColumn id="7" name="Поставщик"/>
    <x:tableColumn id="8" name="Бренд"/>
    <x:tableColumn id="9" name="Артикул / прайс SKU"/>
    <x:tableColumn id="10" name="Наименование"/>
    <x:tableColumn id="11" name="Закупка, ₽"/>
    <x:tableColumn id="12" name="ABC"/>
    <x:tableColumn id="13" name="XYZ"/>
    <x:tableColumn id="14" name="Продано, шт"/>
    <x:tableColumn id="15" name="Период"/>
    <x:tableColumn id="16" name="Скорость, шт/мес"/>
    <x:tableColumn id="17" name="Свободный остаток"/>
    <x:tableColumn id="18" name="MIN источник"/>
    <x:tableColumn id="19" name="MIN матрицы"/>
    <x:tableColumn id="20" name="MAX матрицы"/>
    <x:tableColumn id="21" name="Решение"/>
    <x:tableColumn id="22" name="Проверка"/>
    <x:tableColumn id="23" name="Основание / 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7937412c394c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09b17bb5586946d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27" hidden="0" customWidth="1"/>
    <x:col min="4" max="4" width="14" hidden="0" customWidth="1"/>
    <x:col min="5" max="5" width="12" hidden="0" customWidth="1"/>
    <x:col min="6" max="6" width="12" hidden="0" customWidth="1"/>
    <x:col min="7" max="7" width="20" hidden="0" customWidth="1"/>
    <x:col min="8" max="8" width="19" hidden="0" customWidth="1"/>
    <x:col min="9" max="9" width="18" hidden="0" customWidth="1"/>
    <x:col min="10" max="10" width="52" hidden="0" customWidth="1"/>
    <x:col min="11" max="11" width="13" hidden="0" customWidth="1"/>
    <x:col min="12" max="12" width="7" hidden="0" customWidth="1"/>
    <x:col min="13" max="13" width="7" hidden="0" customWidth="1"/>
    <x:col min="14" max="14" width="12" hidden="0" customWidth="1"/>
    <x:col min="15" max="15" width="18" hidden="0" customWidth="1"/>
    <x:col min="16" max="16" width="15" hidden="0" customWidth="1"/>
    <x:col min="17" max="17" width="15" hidden="0" customWidth="1"/>
    <x:col min="18" max="18" width="13" hidden="0" customWidth="1"/>
    <x:col min="19" max="19" width="13" hidden="0" customWidth="1"/>
    <x:col min="20" max="20" width="13" hidden="0" customWidth="1"/>
    <x:col min="21" max="21" width="20" hidden="0" customWidth="1"/>
    <x:col min="22" max="22" width="18" hidden="0" customWidth="1"/>
    <x:col min="23" max="23" width="55" hidden="0" customWidth="1"/>
    <x:col min="24" max="24" width="18" hidden="0" customWidth="1"/>
    <x:col min="25" max="25" width="16" hidden="0" customWidth="1"/>
    <x:col min="26" max="26" width="55" hidden="0" customWidth="1"/>
    <x:col min="27" max="27" width="18" hidden="0" customWidth="1"/>
  </x:cols>
  <x:sheetData>
    <x:row r="1">
      <x:c r="A1" s="6" t="str">
        <x:v>SKU_ID</x:v>
      </x:c>
      <x:c r="B1" s="6" t="str">
        <x:v>Блок</x:v>
      </x:c>
      <x:c r="C1" s="6" t="str">
        <x:v>Подкатегория</x:v>
      </x:c>
      <x:c r="D1" s="6" t="str">
        <x:v>Животное</x:v>
      </x:c>
      <x:c r="E1" s="6" t="str">
        <x:v>Статус</x:v>
      </x:c>
      <x:c r="F1" s="6" t="str">
        <x:v>Приоритет</x:v>
      </x:c>
      <x:c r="G1" s="6" t="str">
        <x:v>Поставщик</x:v>
      </x:c>
      <x:c r="H1" s="6" t="str">
        <x:v>Бренд</x:v>
      </x:c>
      <x:c r="I1" s="6" t="str">
        <x:v>Артикул / прайс SKU</x:v>
      </x:c>
      <x:c r="J1" s="6" t="str">
        <x:v>Наименование</x:v>
      </x:c>
      <x:c r="K1" s="6" t="str">
        <x:v>Закупка, ₽</x:v>
      </x:c>
      <x:c r="L1" s="6" t="str">
        <x:v>ABC</x:v>
      </x:c>
      <x:c r="M1" s="6" t="str">
        <x:v>XYZ</x:v>
      </x:c>
      <x:c r="N1" s="6" t="str">
        <x:v>Продано, шт</x:v>
      </x:c>
      <x:c r="O1" s="6" t="str">
        <x:v>Период</x:v>
      </x:c>
      <x:c r="P1" s="6" t="str">
        <x:v>Скорость, шт/мес</x:v>
      </x:c>
      <x:c r="Q1" s="6" t="str">
        <x:v>Свободный остаток</x:v>
      </x:c>
      <x:c r="R1" s="6" t="str">
        <x:v>MIN источник</x:v>
      </x:c>
      <x:c r="S1" s="6" t="str">
        <x:v>MIN матрицы</x:v>
      </x:c>
      <x:c r="T1" s="6" t="str">
        <x:v>MAX матрицы</x:v>
      </x:c>
      <x:c r="U1" s="6" t="str">
        <x:v>Решение</x:v>
      </x:c>
      <x:c r="V1" s="6" t="str">
        <x:v>Проверка</x:v>
      </x:c>
      <x:c r="W1" s="6" t="str">
        <x:v>Основание / источник</x:v>
      </x:c>
      <x:c r="X1" s="40" t="str">
        <x:v>Класс оборачиваемости</x:v>
      </x:c>
      <x:c r="Y1" s="40" t="str">
        <x:v>Покрытие MAX, мес</x:v>
      </x:c>
      <x:c r="Z1" s="40" t="str">
        <x:v>Прогноз продаваемости / уверенность</x:v>
      </x:c>
      <x:c r="AA1" s="40" t="str">
        <x:v>Старт сейчас</x:v>
      </x:c>
    </x:row>
    <x:row r="2">
      <x:c r="A2" s="12" t="str">
        <x:v>FILL-001</x:v>
      </x:c>
      <x:c r="B2" s="12" t="str">
        <x:v>Наполнители</x:v>
      </x:c>
      <x:c r="C2" s="12" t="str">
        <x:v>Бумажный</x:v>
      </x:c>
      <x:c r="D2" s="12" t="str">
        <x:v>Кошки</x:v>
      </x:c>
      <x:c r="E2" s="12" t="str">
        <x:v>CORE</x:v>
      </x:c>
      <x:c r="F2" s="12" t="str">
        <x:v>Высокий</x:v>
      </x:c>
      <x:c r="G2" s="12" t="str">
        <x:v>Валта</x:v>
      </x:c>
      <x:c r="H2" s="12" t="str">
        <x:v>Cat's Choice</x:v>
      </x:c>
      <x:c r="I2" s="12" t="str">
        <x:v>CCH544650</x:v>
      </x:c>
      <x:c r="J2" s="12" t="str">
        <x:v>Бумажный комкующийся с цветовым индикатором комка 6 л/1,5 кг</x:v>
      </x:c>
      <x:c r="K2" s="14" t="n">
        <x:v>432.11</x:v>
      </x:c>
      <x:c r="L2" s="12" t="str">
        <x:v>A</x:v>
      </x:c>
      <x:c r="M2" s="12" t="str">
        <x:v>Y</x:v>
      </x:c>
      <x:c r="N2" s="16" t="n">
        <x:v>11</x:v>
      </x:c>
      <x:c r="O2" s="12" t="str">
        <x:v>180 дней</x:v>
      </x:c>
      <x:c r="P2" s="18" t="n">
        <x:v>1.8</x:v>
      </x:c>
      <x:c r="Q2" s="18" t="n">
        <x:v>3</x:v>
      </x:c>
      <x:c r="R2" s="18" t="n">
        <x:v>1</x:v>
      </x:c>
      <x:c r="S2" s="18" t="n">
        <x:v>2</x:v>
      </x:c>
      <x:c r="T2" s="18" t="n">
        <x:v>3</x:v>
      </x:c>
      <x:c r="U2" s="12" t="str">
        <x:v>ОСТАВИТЬ</x:v>
      </x:c>
      <x:c r="V2" s="12" t="str">
        <x:v>CONFIRMED</x:v>
      </x:c>
      <x:c r="W2" s="12" t="str">
        <x:v>Текущий ассортимент из MASTER наполнителей 12.08.2026.</x:v>
      </x:c>
      <x:c r="X2" s="12" t="str">
        <x:f>IF(AND(P2="",N2=""),"НЕТ ИСТОРИИ",IF(IF(P2="",N2/6,P2)&gt;=3,"БЫСТРАЯ",IF(IF(P2="",N2/6,P2)&gt;=1.5,"ХОРОШАЯ",IF(IF(P2="",N2/6,P2)&gt;=0.7,"УМЕРЕННАЯ",IF(IF(P2="",N2/6,P2)&gt;0,"МЕДЛЕННАЯ","НЕТ ПРОДАЖ")))))</x:f>
        <x:v>ХОРОШАЯ</x:v>
      </x:c>
      <x:c r="Y2" s="18" t="n">
        <x:f>IF(OR(T2="",AND(P2="",N2=""),IF(P2="",N2/6,P2)=0),"",T2/IF(P2="",N2/6,P2))</x:f>
        <x:v>1.6666666666666665</x:v>
      </x:c>
      <x:c r="Z2" s="12" t="str">
        <x:v>ФАКТ / текущий SKU</x:v>
      </x:c>
      <x:c r="AA2" s="12" t="str">
        <x:v>ДА</x:v>
      </x:c>
    </x:row>
    <x:row r="3">
      <x:c r="A3" s="12" t="str">
        <x:v>FILL-002</x:v>
      </x:c>
      <x:c r="B3" s="12" t="str">
        <x:v>Наполнители</x:v>
      </x:c>
      <x:c r="C3" s="12" t="str">
        <x:v>Древесный</x:v>
      </x:c>
      <x:c r="D3" s="12" t="str">
        <x:v>Кошки</x:v>
      </x:c>
      <x:c r="E3" s="12" t="str">
        <x:v>CORE</x:v>
      </x:c>
      <x:c r="F3" s="12" t="str">
        <x:v>Высокий</x:v>
      </x:c>
      <x:c r="G3" s="12" t="str">
        <x:v>Валта</x:v>
      </x:c>
      <x:c r="H3" s="12" t="str">
        <x:v>Cat's Choice</x:v>
      </x:c>
      <x:c r="I3" s="12" t="str">
        <x:v>CCH179336</x:v>
      </x:c>
      <x:c r="J3" s="12" t="str">
        <x:v>Древесный впитывающий Cat's Choice 16 л/4 кг</x:v>
      </x:c>
      <x:c r="K3" s="14" t="n">
        <x:v>198.98</x:v>
      </x:c>
      <x:c r="L3" s="12" t="str">
        <x:v>B</x:v>
      </x:c>
      <x:c r="M3" s="12" t="str">
        <x:v>Y</x:v>
      </x:c>
      <x:c r="N3" s="16" t="n">
        <x:v>13</x:v>
      </x:c>
      <x:c r="O3" s="12" t="str">
        <x:v>180 дней</x:v>
      </x:c>
      <x:c r="P3" s="18" t="n">
        <x:v>2.2</x:v>
      </x:c>
      <x:c r="Q3" s="18" t="n">
        <x:v>4</x:v>
      </x:c>
      <x:c r="R3" s="18" t="n">
        <x:v>1</x:v>
      </x:c>
      <x:c r="S3" s="18" t="n">
        <x:v>2</x:v>
      </x:c>
      <x:c r="T3" s="18" t="n">
        <x:v>3</x:v>
      </x:c>
      <x:c r="U3" s="12" t="str">
        <x:v>ОСТАВИТЬ</x:v>
      </x:c>
      <x:c r="V3" s="12" t="str">
        <x:v>CONFIRMED</x:v>
      </x:c>
      <x:c r="W3" s="12" t="str">
        <x:v>Текущий ассортимент из MASTER наполнителей 12.08.2026. Исправление: тип древесный, не силикагель.</x:v>
      </x:c>
      <x:c r="X3" s="12" t="str">
        <x:f>IF(AND(P3="",N3=""),"НЕТ ИСТОРИИ",IF(IF(P3="",N3/6,P3)&gt;=3,"БЫСТРАЯ",IF(IF(P3="",N3/6,P3)&gt;=1.5,"ХОРОШАЯ",IF(IF(P3="",N3/6,P3)&gt;=0.7,"УМЕРЕННАЯ",IF(IF(P3="",N3/6,P3)&gt;0,"МЕДЛЕННАЯ","НЕТ ПРОДАЖ")))))</x:f>
        <x:v>ХОРОШАЯ</x:v>
      </x:c>
      <x:c r="Y3" s="18" t="n">
        <x:f>IF(OR(T3="",AND(P3="",N3=""),IF(P3="",N3/6,P3)=0),"",T3/IF(P3="",N3/6,P3))</x:f>
        <x:v>1.3636363636363635</x:v>
      </x:c>
      <x:c r="Z3" s="12" t="str">
        <x:v>ФАКТ / текущий SKU</x:v>
      </x:c>
      <x:c r="AA3" s="12" t="str">
        <x:v>ДА</x:v>
      </x:c>
    </x:row>
    <x:row r="4">
      <x:c r="A4" s="12" t="str">
        <x:v>FILL-003</x:v>
      </x:c>
      <x:c r="B4" s="12" t="str">
        <x:v>Наполнители</x:v>
      </x:c>
      <x:c r="C4" s="12" t="str">
        <x:v>Растительный с индикатором</x:v>
      </x:c>
      <x:c r="D4" s="12" t="str">
        <x:v>Кошки</x:v>
      </x:c>
      <x:c r="E4" s="12" t="str">
        <x:v>CORE</x:v>
      </x:c>
      <x:c r="F4" s="12" t="str">
        <x:v>Высокий</x:v>
      </x:c>
      <x:c r="G4" s="12" t="str">
        <x:v>Валта</x:v>
      </x:c>
      <x:c r="H4" s="12" t="str">
        <x:v>Cat's Choice</x:v>
      </x:c>
      <x:c r="I4" s="12" t="str">
        <x:v>CCH549570</x:v>
      </x:c>
      <x:c r="J4" s="12" t="str">
        <x:v>Растительный комкующийся с pH-индикатором 6 л/2,5 кг</x:v>
      </x:c>
      <x:c r="K4" s="14" t="n">
        <x:v>392.37</x:v>
      </x:c>
      <x:c r="L4" s="12" t="str">
        <x:v>A</x:v>
      </x:c>
      <x:c r="M4" s="12" t="str">
        <x:v>Z</x:v>
      </x:c>
      <x:c r="N4" s="16" t="n">
        <x:v>26</x:v>
      </x:c>
      <x:c r="O4" s="12" t="str">
        <x:v>180 дней</x:v>
      </x:c>
      <x:c r="P4" s="18" t="n">
        <x:v>4.3</x:v>
      </x:c>
      <x:c r="Q4" s="18" t="n">
        <x:v>9</x:v>
      </x:c>
      <x:c r="R4" s="18" t="n">
        <x:v>6</x:v>
      </x:c>
      <x:c r="S4" s="18" t="n">
        <x:v>3</x:v>
      </x:c>
      <x:c r="T4" s="18" t="n">
        <x:v>5</x:v>
      </x:c>
      <x:c r="U4" s="12" t="str">
        <x:v>ОСТАВИТЬ</x:v>
      </x:c>
      <x:c r="V4" s="12" t="str">
        <x:v>CONFIRMED</x:v>
      </x:c>
      <x:c r="W4" s="12" t="str">
        <x:v>Текущий ассортимент из MASTER наполнителей 12.08.2026.</x:v>
      </x:c>
      <x:c r="X4" s="12" t="str">
        <x:f>IF(AND(P4="",N4=""),"НЕТ ИСТОРИИ",IF(IF(P4="",N4/6,P4)&gt;=3,"БЫСТРАЯ",IF(IF(P4="",N4/6,P4)&gt;=1.5,"ХОРОШАЯ",IF(IF(P4="",N4/6,P4)&gt;=0.7,"УМЕРЕННАЯ",IF(IF(P4="",N4/6,P4)&gt;0,"МЕДЛЕННАЯ","НЕТ ПРОДАЖ")))))</x:f>
        <x:v>БЫСТРАЯ</x:v>
      </x:c>
      <x:c r="Y4" s="18" t="n">
        <x:f>IF(OR(T4="",AND(P4="",N4=""),IF(P4="",N4/6,P4)=0),"",T4/IF(P4="",N4/6,P4))</x:f>
        <x:v>1.1627906976744187</x:v>
      </x:c>
      <x:c r="Z4" s="12" t="str">
        <x:v>ФАКТ / текущий SKU</x:v>
      </x:c>
      <x:c r="AA4" s="12" t="str">
        <x:v>ДА</x:v>
      </x:c>
    </x:row>
    <x:row r="5">
      <x:c r="A5" s="12" t="str">
        <x:v>FILL-004</x:v>
      </x:c>
      <x:c r="B5" s="12" t="str">
        <x:v>Наполнители</x:v>
      </x:c>
      <x:c r="C5" s="12" t="str">
        <x:v>Тофу / растительный</x:v>
      </x:c>
      <x:c r="D5" s="12" t="str">
        <x:v>Кошки</x:v>
      </x:c>
      <x:c r="E5" s="12" t="str">
        <x:v>CORE</x:v>
      </x:c>
      <x:c r="F5" s="12" t="str">
        <x:v>Высокий</x:v>
      </x:c>
      <x:c r="G5" s="12" t="str">
        <x:v>Валта</x:v>
      </x:c>
      <x:c r="H5" s="12" t="str">
        <x:v>Cat's Choice</x:v>
      </x:c>
      <x:c r="I5" s="12" t="str">
        <x:v>CCH179404</x:v>
      </x:c>
      <x:c r="J5" s="12" t="str">
        <x:v>Тофу без аромата 6 л/2,5 кг</x:v>
      </x:c>
      <x:c r="K5" s="14" t="n">
        <x:v>335.02</x:v>
      </x:c>
      <x:c r="L5" s="12" t="str">
        <x:v>A</x:v>
      </x:c>
      <x:c r="M5" s="12" t="str">
        <x:v>X</x:v>
      </x:c>
      <x:c r="N5" s="16" t="n">
        <x:v>25</x:v>
      </x:c>
      <x:c r="O5" s="12" t="str">
        <x:v>180 дней</x:v>
      </x:c>
      <x:c r="P5" s="18" t="n">
        <x:v>4.1</x:v>
      </x:c>
      <x:c r="Q5" s="18" t="n">
        <x:v>1</x:v>
      </x:c>
      <x:c r="R5" s="18" t="n">
        <x:v>5</x:v>
      </x:c>
      <x:c r="S5" s="18" t="n">
        <x:v>3</x:v>
      </x:c>
      <x:c r="T5" s="18" t="n">
        <x:v>5</x:v>
      </x:c>
      <x:c r="U5" s="12" t="str">
        <x:v>ОСТАВИТЬ</x:v>
      </x:c>
      <x:c r="V5" s="12" t="str">
        <x:v>CONFIRMED</x:v>
      </x:c>
      <x:c r="W5" s="12" t="str">
        <x:v>Текущий ассортимент из MASTER наполнителей 12.08.2026.</x:v>
      </x:c>
      <x:c r="X5" s="12" t="str">
        <x:f>IF(AND(P5="",N5=""),"НЕТ ИСТОРИИ",IF(IF(P5="",N5/6,P5)&gt;=3,"БЫСТРАЯ",IF(IF(P5="",N5/6,P5)&gt;=1.5,"ХОРОШАЯ",IF(IF(P5="",N5/6,P5)&gt;=0.7,"УМЕРЕННАЯ",IF(IF(P5="",N5/6,P5)&gt;0,"МЕДЛЕННАЯ","НЕТ ПРОДАЖ")))))</x:f>
        <x:v>БЫСТРАЯ</x:v>
      </x:c>
      <x:c r="Y5" s="18" t="n">
        <x:f>IF(OR(T5="",AND(P5="",N5=""),IF(P5="",N5/6,P5)=0),"",T5/IF(P5="",N5/6,P5))</x:f>
        <x:v>1.2195121951219514</x:v>
      </x:c>
      <x:c r="Z5" s="12" t="str">
        <x:v>ФАКТ / текущий SKU</x:v>
      </x:c>
      <x:c r="AA5" s="12" t="str">
        <x:v>ДА</x:v>
      </x:c>
    </x:row>
    <x:row r="6">
      <x:c r="A6" s="12" t="str">
        <x:v>FILL-005</x:v>
      </x:c>
      <x:c r="B6" s="12" t="str">
        <x:v>Наполнители</x:v>
      </x:c>
      <x:c r="C6" s="12" t="str">
        <x:v>Тофу / растительный</x:v>
      </x:c>
      <x:c r="D6" s="12" t="str">
        <x:v>Кошки</x:v>
      </x:c>
      <x:c r="E6" s="12" t="str">
        <x:v>CORE</x:v>
      </x:c>
      <x:c r="F6" s="12" t="str">
        <x:v>Высокий</x:v>
      </x:c>
      <x:c r="G6" s="12" t="str">
        <x:v>Валта</x:v>
      </x:c>
      <x:c r="H6" s="12" t="str">
        <x:v>Cat's Choice</x:v>
      </x:c>
      <x:c r="I6" s="12" t="str">
        <x:v>CCH544636</x:v>
      </x:c>
      <x:c r="J6" s="12" t="str">
        <x:v>Тофу Зеленый чай 6 л/2,5 кг</x:v>
      </x:c>
      <x:c r="K6" s="14" t="n">
        <x:v>335.02</x:v>
      </x:c>
      <x:c r="L6" s="12" t="str">
        <x:v>A</x:v>
      </x:c>
      <x:c r="M6" s="12" t="str">
        <x:v>Y</x:v>
      </x:c>
      <x:c r="N6" s="16" t="n">
        <x:v>26</x:v>
      </x:c>
      <x:c r="O6" s="12" t="str">
        <x:v>180 дней</x:v>
      </x:c>
      <x:c r="P6" s="18" t="n">
        <x:v>4.3</x:v>
      </x:c>
      <x:c r="Q6" s="18"/>
      <x:c r="R6" s="18" t="n">
        <x:v>6</x:v>
      </x:c>
      <x:c r="S6" s="18" t="n">
        <x:v>3</x:v>
      </x:c>
      <x:c r="T6" s="18" t="n">
        <x:v>5</x:v>
      </x:c>
      <x:c r="U6" s="12" t="str">
        <x:v>ОСТАВИТЬ</x:v>
      </x:c>
      <x:c r="V6" s="12" t="str">
        <x:v>CONFIRMED</x:v>
      </x:c>
      <x:c r="W6" s="12" t="str">
        <x:v>Текущий ассортимент из MASTER наполнителей 12.08.2026. Остаток UNKNOWN — не считать нулём.</x:v>
      </x:c>
      <x:c r="X6" s="12" t="str">
        <x:f>IF(AND(P6="",N6=""),"НЕТ ИСТОРИИ",IF(IF(P6="",N6/6,P6)&gt;=3,"БЫСТРАЯ",IF(IF(P6="",N6/6,P6)&gt;=1.5,"ХОРОШАЯ",IF(IF(P6="",N6/6,P6)&gt;=0.7,"УМЕРЕННАЯ",IF(IF(P6="",N6/6,P6)&gt;0,"МЕДЛЕННАЯ","НЕТ ПРОДАЖ")))))</x:f>
        <x:v>БЫСТРАЯ</x:v>
      </x:c>
      <x:c r="Y6" s="18" t="n">
        <x:f>IF(OR(T6="",AND(P6="",N6=""),IF(P6="",N6/6,P6)=0),"",T6/IF(P6="",N6/6,P6))</x:f>
        <x:v>1.1627906976744187</x:v>
      </x:c>
      <x:c r="Z6" s="12" t="str">
        <x:v>ФАКТ / текущий SKU</x:v>
      </x:c>
      <x:c r="AA6" s="12" t="str">
        <x:v>ДА</x:v>
      </x:c>
    </x:row>
    <x:row r="7">
      <x:c r="A7" s="12" t="str">
        <x:v>FILL-006</x:v>
      </x:c>
      <x:c r="B7" s="12" t="str">
        <x:v>Наполнители</x:v>
      </x:c>
      <x:c r="C7" s="12" t="str">
        <x:v>Тофу / растительный</x:v>
      </x:c>
      <x:c r="D7" s="12" t="str">
        <x:v>Кошки</x:v>
      </x:c>
      <x:c r="E7" s="12" t="str">
        <x:v>OPTIONAL</x:v>
      </x:c>
      <x:c r="F7" s="12" t="str">
        <x:v>Средний</x:v>
      </x:c>
      <x:c r="G7" s="12" t="str">
        <x:v>Валта</x:v>
      </x:c>
      <x:c r="H7" s="12" t="str">
        <x:v>Cat's Choice</x:v>
      </x:c>
      <x:c r="I7" s="12" t="str">
        <x:v>CCH544551</x:v>
      </x:c>
      <x:c r="J7" s="12" t="str">
        <x:v>Тофу Кофе 6 л/2,5 кг</x:v>
      </x:c>
      <x:c r="K7" s="14" t="n">
        <x:v>335.02</x:v>
      </x:c>
      <x:c r="L7" s="12" t="str">
        <x:v>B</x:v>
      </x:c>
      <x:c r="M7" s="12" t="str">
        <x:v>Y</x:v>
      </x:c>
      <x:c r="N7" s="16" t="n">
        <x:v>4</x:v>
      </x:c>
      <x:c r="O7" s="12" t="str">
        <x:v>180 дней</x:v>
      </x:c>
      <x:c r="P7" s="18" t="n">
        <x:v>0.7</x:v>
      </x:c>
      <x:c r="Q7" s="18" t="n">
        <x:v>3</x:v>
      </x:c>
      <x:c r="R7" s="18" t="n">
        <x:v>1</x:v>
      </x:c>
      <x:c r="S7" s="18" t="n">
        <x:v>1</x:v>
      </x:c>
      <x:c r="T7" s="18" t="n">
        <x:v>2</x:v>
      </x:c>
      <x:c r="U7" s="12" t="str">
        <x:v>ОСТАВИТЬ</x:v>
      </x:c>
      <x:c r="V7" s="12" t="str">
        <x:v>CONFIRMED</x:v>
      </x:c>
      <x:c r="W7" s="12" t="str">
        <x:v>Текущий ассортимент из MASTER наполнителей 12.08.2026.</x:v>
      </x:c>
      <x:c r="X7" s="12" t="str">
        <x:f>IF(AND(P7="",N7=""),"НЕТ ИСТОРИИ",IF(IF(P7="",N7/6,P7)&gt;=3,"БЫСТРАЯ",IF(IF(P7="",N7/6,P7)&gt;=1.5,"ХОРОШАЯ",IF(IF(P7="",N7/6,P7)&gt;=0.7,"УМЕРЕННАЯ",IF(IF(P7="",N7/6,P7)&gt;0,"МЕДЛЕННАЯ","НЕТ ПРОДАЖ")))))</x:f>
        <x:v>УМЕРЕННАЯ</x:v>
      </x:c>
      <x:c r="Y7" s="18" t="n">
        <x:f>IF(OR(T7="",AND(P7="",N7=""),IF(P7="",N7/6,P7)=0),"",T7/IF(P7="",N7/6,P7))</x:f>
        <x:v>2.857142857142857</x:v>
      </x:c>
      <x:c r="Z7" s="12" t="str">
        <x:v>ФАКТ / текущий SKU</x:v>
      </x:c>
      <x:c r="AA7" s="12" t="str">
        <x:v>ДА</x:v>
      </x:c>
    </x:row>
    <x:row r="8">
      <x:c r="A8" s="12" t="str">
        <x:v>FILL-007</x:v>
      </x:c>
      <x:c r="B8" s="12" t="str">
        <x:v>Наполнители</x:v>
      </x:c>
      <x:c r="C8" s="12" t="str">
        <x:v>Тофу / растительный</x:v>
      </x:c>
      <x:c r="D8" s="12" t="str">
        <x:v>Кошки</x:v>
      </x:c>
      <x:c r="E8" s="12" t="str">
        <x:v>CORE</x:v>
      </x:c>
      <x:c r="F8" s="12" t="str">
        <x:v>Высокий</x:v>
      </x:c>
      <x:c r="G8" s="12" t="str">
        <x:v>Валта</x:v>
      </x:c>
      <x:c r="H8" s="12" t="str">
        <x:v>Cat's Choice</x:v>
      </x:c>
      <x:c r="I8" s="12" t="str">
        <x:v>CCH544643</x:v>
      </x:c>
      <x:c r="J8" s="12" t="str">
        <x:v>Тофу Лаванда 6 л/2,5 кг</x:v>
      </x:c>
      <x:c r="K8" s="14" t="n">
        <x:v>335.02</x:v>
      </x:c>
      <x:c r="L8" s="12" t="str">
        <x:v>A</x:v>
      </x:c>
      <x:c r="M8" s="12" t="str">
        <x:v>Y</x:v>
      </x:c>
      <x:c r="N8" s="16" t="n">
        <x:v>20</x:v>
      </x:c>
      <x:c r="O8" s="12" t="str">
        <x:v>180 дней</x:v>
      </x:c>
      <x:c r="P8" s="18" t="n">
        <x:v>3.3</x:v>
      </x:c>
      <x:c r="Q8" s="18" t="n">
        <x:v>11</x:v>
      </x:c>
      <x:c r="R8" s="18" t="n">
        <x:v>4</x:v>
      </x:c>
      <x:c r="S8" s="18" t="n">
        <x:v>2</x:v>
      </x:c>
      <x:c r="T8" s="18" t="n">
        <x:v>4</x:v>
      </x:c>
      <x:c r="U8" s="12" t="str">
        <x:v>ОСТАВИТЬ</x:v>
      </x:c>
      <x:c r="V8" s="12" t="str">
        <x:v>CONFIRMED</x:v>
      </x:c>
      <x:c r="W8" s="12" t="str">
        <x:v>Текущий ассортимент из MASTER наполнителей 12.08.2026.</x:v>
      </x:c>
      <x:c r="X8" s="12" t="str">
        <x:f>IF(AND(P8="",N8=""),"НЕТ ИСТОРИИ",IF(IF(P8="",N8/6,P8)&gt;=3,"БЫСТРАЯ",IF(IF(P8="",N8/6,P8)&gt;=1.5,"ХОРОШАЯ",IF(IF(P8="",N8/6,P8)&gt;=0.7,"УМЕРЕННАЯ",IF(IF(P8="",N8/6,P8)&gt;0,"МЕДЛЕННАЯ","НЕТ ПРОДАЖ")))))</x:f>
        <x:v>БЫСТРАЯ</x:v>
      </x:c>
      <x:c r="Y8" s="18" t="n">
        <x:f>IF(OR(T8="",AND(P8="",N8=""),IF(P8="",N8/6,P8)=0),"",T8/IF(P8="",N8/6,P8))</x:f>
        <x:v>1.2121212121212122</x:v>
      </x:c>
      <x:c r="Z8" s="12" t="str">
        <x:v>ФАКТ / текущий SKU</x:v>
      </x:c>
      <x:c r="AA8" s="12" t="str">
        <x:v>ДА</x:v>
      </x:c>
    </x:row>
    <x:row r="9">
      <x:c r="A9" s="12" t="str">
        <x:v>FILL-008</x:v>
      </x:c>
      <x:c r="B9" s="12" t="str">
        <x:v>Наполнители</x:v>
      </x:c>
      <x:c r="C9" s="12" t="str">
        <x:v>Тофу / растительный</x:v>
      </x:c>
      <x:c r="D9" s="12" t="str">
        <x:v>Кошки</x:v>
      </x:c>
      <x:c r="E9" s="12" t="str">
        <x:v>OPTIONAL</x:v>
      </x:c>
      <x:c r="F9" s="12" t="str">
        <x:v>Средний</x:v>
      </x:c>
      <x:c r="G9" s="12" t="str">
        <x:v>Валта</x:v>
      </x:c>
      <x:c r="H9" s="12" t="str">
        <x:v>Cat's Choice</x:v>
      </x:c>
      <x:c r="I9" s="12" t="str">
        <x:v>CCH544629</x:v>
      </x:c>
      <x:c r="J9" s="12" t="str">
        <x:v>Тофу Персик 6 л/2,5 кг</x:v>
      </x:c>
      <x:c r="K9" s="14" t="n">
        <x:v>335.02</x:v>
      </x:c>
      <x:c r="L9" s="12" t="str">
        <x:v>B</x:v>
      </x:c>
      <x:c r="M9" s="12" t="str">
        <x:v>Z</x:v>
      </x:c>
      <x:c r="N9" s="16" t="n">
        <x:v>7</x:v>
      </x:c>
      <x:c r="O9" s="12" t="str">
        <x:v>180 дней</x:v>
      </x:c>
      <x:c r="P9" s="18" t="n">
        <x:v>1.2</x:v>
      </x:c>
      <x:c r="Q9" s="18" t="n">
        <x:v>3</x:v>
      </x:c>
      <x:c r="R9" s="18" t="n">
        <x:v>1</x:v>
      </x:c>
      <x:c r="S9" s="18" t="n">
        <x:v>1</x:v>
      </x:c>
      <x:c r="T9" s="18" t="n">
        <x:v>2</x:v>
      </x:c>
      <x:c r="U9" s="12" t="str">
        <x:v>ОСТАВИТЬ</x:v>
      </x:c>
      <x:c r="V9" s="12" t="str">
        <x:v>CONFIRMED</x:v>
      </x:c>
      <x:c r="W9" s="12" t="str">
        <x:v>Текущий ассортимент из MASTER наполнителей 12.08.2026.</x:v>
      </x:c>
      <x:c r="X9" s="12" t="str">
        <x:f>IF(AND(P9="",N9=""),"НЕТ ИСТОРИИ",IF(IF(P9="",N9/6,P9)&gt;=3,"БЫСТРАЯ",IF(IF(P9="",N9/6,P9)&gt;=1.5,"ХОРОШАЯ",IF(IF(P9="",N9/6,P9)&gt;=0.7,"УМЕРЕННАЯ",IF(IF(P9="",N9/6,P9)&gt;0,"МЕДЛЕННАЯ","НЕТ ПРОДАЖ")))))</x:f>
        <x:v>УМЕРЕННАЯ</x:v>
      </x:c>
      <x:c r="Y9" s="18" t="n">
        <x:f>IF(OR(T9="",AND(P9="",N9=""),IF(P9="",N9/6,P9)=0),"",T9/IF(P9="",N9/6,P9))</x:f>
        <x:v>1.6666666666666667</x:v>
      </x:c>
      <x:c r="Z9" s="12" t="str">
        <x:v>ФАКТ / текущий SKU</x:v>
      </x:c>
      <x:c r="AA9" s="12" t="str">
        <x:v>ДА</x:v>
      </x:c>
    </x:row>
    <x:row r="10">
      <x:c r="A10" s="12" t="str">
        <x:v>FILL-009</x:v>
      </x:c>
      <x:c r="B10" s="12" t="str">
        <x:v>Наполнители</x:v>
      </x:c>
      <x:c r="C10" s="12" t="str">
        <x:v>Силикагель / впитывающий</x:v>
      </x:c>
      <x:c r="D10" s="12" t="str">
        <x:v>Кошки</x:v>
      </x:c>
      <x:c r="E10" s="12" t="str">
        <x:v>CORE</x:v>
      </x:c>
      <x:c r="F10" s="12" t="str">
        <x:v>Высокий</x:v>
      </x:c>
      <x:c r="G10" s="12" t="str">
        <x:v>Валта</x:v>
      </x:c>
      <x:c r="H10" s="12" t="str">
        <x:v>Cat's Choice</x:v>
      </x:c>
      <x:c r="I10" s="12" t="str">
        <x:v>CCH544667</x:v>
      </x:c>
      <x:c r="J10" s="12" t="str">
        <x:v>Силикагелевый с синими гранулами 5 л/2 кг</x:v>
      </x:c>
      <x:c r="K10" s="14" t="n">
        <x:v>320.83</x:v>
      </x:c>
      <x:c r="L10" s="12" t="str">
        <x:v>A</x:v>
      </x:c>
      <x:c r="M10" s="12" t="str">
        <x:v>Y</x:v>
      </x:c>
      <x:c r="N10" s="16" t="n">
        <x:v>16</x:v>
      </x:c>
      <x:c r="O10" s="12" t="str">
        <x:v>180 дней</x:v>
      </x:c>
      <x:c r="P10" s="18" t="n">
        <x:v>2.7</x:v>
      </x:c>
      <x:c r="Q10" s="18" t="n">
        <x:v>1</x:v>
      </x:c>
      <x:c r="R10" s="18" t="n">
        <x:v>3</x:v>
      </x:c>
      <x:c r="S10" s="18" t="n">
        <x:v>2</x:v>
      </x:c>
      <x:c r="T10" s="18" t="n">
        <x:v>3</x:v>
      </x:c>
      <x:c r="U10" s="12" t="str">
        <x:v>ОСТАВИТЬ</x:v>
      </x:c>
      <x:c r="V10" s="12" t="str">
        <x:v>CONFIRMED</x:v>
      </x:c>
      <x:c r="W10" s="12" t="str">
        <x:v>Текущий ассортимент из MASTER наполнителей 12.08.2026.</x:v>
      </x:c>
      <x:c r="X10" s="12" t="str">
        <x:f>IF(AND(P10="",N10=""),"НЕТ ИСТОРИИ",IF(IF(P10="",N10/6,P10)&gt;=3,"БЫСТРАЯ",IF(IF(P10="",N10/6,P10)&gt;=1.5,"ХОРОШАЯ",IF(IF(P10="",N10/6,P10)&gt;=0.7,"УМЕРЕННАЯ",IF(IF(P10="",N10/6,P10)&gt;0,"МЕДЛЕННАЯ","НЕТ ПРОДАЖ")))))</x:f>
        <x:v>ХОРОШАЯ</x:v>
      </x:c>
      <x:c r="Y10" s="18" t="n">
        <x:f>IF(OR(T10="",AND(P10="",N10=""),IF(P10="",N10/6,P10)=0),"",T10/IF(P10="",N10/6,P10))</x:f>
        <x:v>1.111111111111111</x:v>
      </x:c>
      <x:c r="Z10" s="12" t="str">
        <x:v>ФАКТ / текущий SKU</x:v>
      </x:c>
      <x:c r="AA10" s="12" t="str">
        <x:v>ДА</x:v>
      </x:c>
    </x:row>
    <x:row r="11">
      <x:c r="A11" s="12" t="str">
        <x:v>FILL-010</x:v>
      </x:c>
      <x:c r="B11" s="12" t="str">
        <x:v>Наполнители</x:v>
      </x:c>
      <x:c r="C11" s="12" t="str">
        <x:v>Минеральный впитывающий</x:v>
      </x:c>
      <x:c r="D11" s="12" t="str">
        <x:v>Кошки</x:v>
      </x:c>
      <x:c r="E11" s="12" t="str">
        <x:v>OPTIONAL</x:v>
      </x:c>
      <x:c r="F11" s="12" t="str">
        <x:v>Средний</x:v>
      </x:c>
      <x:c r="G11" s="12" t="str">
        <x:v>Зооград/Оникиенко</x:v>
      </x:c>
      <x:c r="H11" s="12" t="str">
        <x:v>Сибирская кошка</x:v>
      </x:c>
      <x:c r="I11" s="12" t="str">
        <x:v>00025195</x:v>
      </x:c>
      <x:c r="J11" s="12" t="str">
        <x:v>Бюджет впитывающий 5 л</x:v>
      </x:c>
      <x:c r="K11" s="14" t="n">
        <x:v>156</x:v>
      </x:c>
      <x:c r="L11" s="12" t="str">
        <x:v>B</x:v>
      </x:c>
      <x:c r="M11" s="12" t="str">
        <x:v>Y</x:v>
      </x:c>
      <x:c r="N11" s="16" t="n">
        <x:v>7</x:v>
      </x:c>
      <x:c r="O11" s="12" t="str">
        <x:v>180 дней</x:v>
      </x:c>
      <x:c r="P11" s="18" t="n">
        <x:v>1.2</x:v>
      </x:c>
      <x:c r="Q11" s="18" t="n">
        <x:v>1</x:v>
      </x:c>
      <x:c r="R11" s="18" t="n">
        <x:v>2</x:v>
      </x:c>
      <x:c r="S11" s="18" t="n">
        <x:v>1</x:v>
      </x:c>
      <x:c r="T11" s="18" t="n">
        <x:v>2</x:v>
      </x:c>
      <x:c r="U11" s="12" t="str">
        <x:v>ОСТАВИТЬ</x:v>
      </x:c>
      <x:c r="V11" s="12" t="str">
        <x:v>CONFIRMED</x:v>
      </x:c>
      <x:c r="W11" s="12" t="str">
        <x:v>Текущий ассортимент из MASTER наполнителей 12.08.2026.</x:v>
      </x:c>
      <x:c r="X11" s="12" t="str">
        <x:f>IF(AND(P11="",N11=""),"НЕТ ИСТОРИИ",IF(IF(P11="",N11/6,P11)&gt;=3,"БЫСТРАЯ",IF(IF(P11="",N11/6,P11)&gt;=1.5,"ХОРОШАЯ",IF(IF(P11="",N11/6,P11)&gt;=0.7,"УМЕРЕННАЯ",IF(IF(P11="",N11/6,P11)&gt;0,"МЕДЛЕННАЯ","НЕТ ПРОДАЖ")))))</x:f>
        <x:v>УМЕРЕННАЯ</x:v>
      </x:c>
      <x:c r="Y11" s="18" t="n">
        <x:f>IF(OR(T11="",AND(P11="",N11=""),IF(P11="",N11/6,P11)=0),"",T11/IF(P11="",N11/6,P11))</x:f>
        <x:v>1.6666666666666667</x:v>
      </x:c>
      <x:c r="Z11" s="12" t="str">
        <x:v>ФАКТ / текущий SKU</x:v>
      </x:c>
      <x:c r="AA11" s="12" t="str">
        <x:v>ДА</x:v>
      </x:c>
    </x:row>
    <x:row r="12">
      <x:c r="A12" s="12" t="str">
        <x:v>FILL-011</x:v>
      </x:c>
      <x:c r="B12" s="12" t="str">
        <x:v>Наполнители</x:v>
      </x:c>
      <x:c r="C12" s="12" t="str">
        <x:v>Минеральный впитывающий</x:v>
      </x:c>
      <x:c r="D12" s="12" t="str">
        <x:v>Кошки</x:v>
      </x:c>
      <x:c r="E12" s="12" t="str">
        <x:v>OPTIONAL</x:v>
      </x:c>
      <x:c r="F12" s="12" t="str">
        <x:v>Средний</x:v>
      </x:c>
      <x:c r="G12" s="12" t="str">
        <x:v>Зооград/Оникиенко</x:v>
      </x:c>
      <x:c r="H12" s="12" t="str">
        <x:v>Сибирская кошка</x:v>
      </x:c>
      <x:c r="I12" s="12" t="str">
        <x:v>00025230</x:v>
      </x:c>
      <x:c r="J12" s="12" t="str">
        <x:v>Бюджет впитывающий 7 л</x:v>
      </x:c>
      <x:c r="K12" s="14" t="n">
        <x:v>209.6</x:v>
      </x:c>
      <x:c r="L12" s="12" t="str">
        <x:v>B</x:v>
      </x:c>
      <x:c r="M12" s="12" t="str">
        <x:v>X</x:v>
      </x:c>
      <x:c r="N12" s="16" t="n">
        <x:v>5</x:v>
      </x:c>
      <x:c r="O12" s="12" t="str">
        <x:v>180 дней</x:v>
      </x:c>
      <x:c r="P12" s="18" t="n">
        <x:v>0.8</x:v>
      </x:c>
      <x:c r="Q12" s="18" t="n">
        <x:v>1</x:v>
      </x:c>
      <x:c r="R12" s="18" t="n">
        <x:v>2</x:v>
      </x:c>
      <x:c r="S12" s="18" t="n">
        <x:v>1</x:v>
      </x:c>
      <x:c r="T12" s="18" t="n">
        <x:v>2</x:v>
      </x:c>
      <x:c r="U12" s="12" t="str">
        <x:v>ОСТАВИТЬ</x:v>
      </x:c>
      <x:c r="V12" s="12" t="str">
        <x:v>CONFIRMED</x:v>
      </x:c>
      <x:c r="W12" s="12" t="str">
        <x:v>Текущий ассортимент из MASTER наполнителей 12.08.2026.</x:v>
      </x:c>
      <x:c r="X12" s="12" t="str">
        <x:f>IF(AND(P12="",N12=""),"НЕТ ИСТОРИИ",IF(IF(P12="",N12/6,P12)&gt;=3,"БЫСТРАЯ",IF(IF(P12="",N12/6,P12)&gt;=1.5,"ХОРОШАЯ",IF(IF(P12="",N12/6,P12)&gt;=0.7,"УМЕРЕННАЯ",IF(IF(P12="",N12/6,P12)&gt;0,"МЕДЛЕННАЯ","НЕТ ПРОДАЖ")))))</x:f>
        <x:v>УМЕРЕННАЯ</x:v>
      </x:c>
      <x:c r="Y12" s="18" t="n">
        <x:f>IF(OR(T12="",AND(P12="",N12=""),IF(P12="",N12/6,P12)=0),"",T12/IF(P12="",N12/6,P12))</x:f>
        <x:v>2.5</x:v>
      </x:c>
      <x:c r="Z12" s="12" t="str">
        <x:v>ФАКТ / текущий SKU</x:v>
      </x:c>
      <x:c r="AA12" s="12" t="str">
        <x:v>ДА</x:v>
      </x:c>
    </x:row>
    <x:row r="13">
      <x:c r="A13" s="12" t="str">
        <x:v>FILL-012</x:v>
      </x:c>
      <x:c r="B13" s="12" t="str">
        <x:v>Наполнители</x:v>
      </x:c>
      <x:c r="C13" s="12" t="str">
        <x:v>Древесный</x:v>
      </x:c>
      <x:c r="D13" s="12" t="str">
        <x:v>Кошки</x:v>
      </x:c>
      <x:c r="E13" s="12" t="str">
        <x:v>CORE</x:v>
      </x:c>
      <x:c r="F13" s="12" t="str">
        <x:v>Высокий</x:v>
      </x:c>
      <x:c r="G13" s="12" t="str">
        <x:v>Зооград/Оникиенко</x:v>
      </x:c>
      <x:c r="H13" s="12" t="str">
        <x:v>Сибирская кошка</x:v>
      </x:c>
      <x:c r="I13" s="12" t="str">
        <x:v>00023729</x:v>
      </x:c>
      <x:c r="J13" s="12" t="str">
        <x:v>Лесной древесный 10 л</x:v>
      </x:c>
      <x:c r="K13" s="14" t="n">
        <x:v>294.9</x:v>
      </x:c>
      <x:c r="L13" s="12" t="str">
        <x:v>A</x:v>
      </x:c>
      <x:c r="M13" s="12" t="str">
        <x:v>X</x:v>
      </x:c>
      <x:c r="N13" s="16" t="n">
        <x:v>28</x:v>
      </x:c>
      <x:c r="O13" s="12" t="str">
        <x:v>180 дней</x:v>
      </x:c>
      <x:c r="P13" s="18" t="n">
        <x:v>4.6</x:v>
      </x:c>
      <x:c r="Q13" s="18" t="n">
        <x:v>1</x:v>
      </x:c>
      <x:c r="R13" s="18" t="n">
        <x:v>10</x:v>
      </x:c>
      <x:c r="S13" s="18" t="n">
        <x:v>3</x:v>
      </x:c>
      <x:c r="T13" s="18" t="n">
        <x:v>5</x:v>
      </x:c>
      <x:c r="U13" s="12" t="str">
        <x:v>ОСТАВИТЬ</x:v>
      </x:c>
      <x:c r="V13" s="12" t="str">
        <x:v>CONFIRMED</x:v>
      </x:c>
      <x:c r="W13" s="12" t="str">
        <x:v>Текущий ассортимент из MASTER наполнителей 12.08.2026.</x:v>
      </x:c>
      <x:c r="X13" s="12" t="str">
        <x:f>IF(AND(P13="",N13=""),"НЕТ ИСТОРИИ",IF(IF(P13="",N13/6,P13)&gt;=3,"БЫСТРАЯ",IF(IF(P13="",N13/6,P13)&gt;=1.5,"ХОРОШАЯ",IF(IF(P13="",N13/6,P13)&gt;=0.7,"УМЕРЕННАЯ",IF(IF(P13="",N13/6,P13)&gt;0,"МЕДЛЕННАЯ","НЕТ ПРОДАЖ")))))</x:f>
        <x:v>БЫСТРАЯ</x:v>
      </x:c>
      <x:c r="Y13" s="18" t="n">
        <x:f>IF(OR(T13="",AND(P13="",N13=""),IF(P13="",N13/6,P13)=0),"",T13/IF(P13="",N13/6,P13))</x:f>
        <x:v>1.0869565217391306</x:v>
      </x:c>
      <x:c r="Z13" s="12" t="str">
        <x:v>ФАКТ / текущий SKU</x:v>
      </x:c>
      <x:c r="AA13" s="12" t="str">
        <x:v>ДА</x:v>
      </x:c>
    </x:row>
    <x:row r="14">
      <x:c r="A14" s="12" t="str">
        <x:v>FILL-013</x:v>
      </x:c>
      <x:c r="B14" s="12" t="str">
        <x:v>Наполнители</x:v>
      </x:c>
      <x:c r="C14" s="12" t="str">
        <x:v>Древесный</x:v>
      </x:c>
      <x:c r="D14" s="12" t="str">
        <x:v>Кошки</x:v>
      </x:c>
      <x:c r="E14" s="12" t="str">
        <x:v>CORE</x:v>
      </x:c>
      <x:c r="F14" s="12" t="str">
        <x:v>Высокий</x:v>
      </x:c>
      <x:c r="G14" s="12" t="str">
        <x:v>Зооград/Оникиенко</x:v>
      </x:c>
      <x:c r="H14" s="12" t="str">
        <x:v>Сибирская кошка</x:v>
      </x:c>
      <x:c r="I14" s="12" t="str">
        <x:v>00024199</x:v>
      </x:c>
      <x:c r="J14" s="12" t="str">
        <x:v>Лесной древесный 3 л</x:v>
      </x:c>
      <x:c r="K14" s="14" t="n">
        <x:v>102.6</x:v>
      </x:c>
      <x:c r="L14" s="12" t="str">
        <x:v>A</x:v>
      </x:c>
      <x:c r="M14" s="12" t="str">
        <x:v>X</x:v>
      </x:c>
      <x:c r="N14" s="16" t="n">
        <x:v>46</x:v>
      </x:c>
      <x:c r="O14" s="12" t="str">
        <x:v>180 дней</x:v>
      </x:c>
      <x:c r="P14" s="18" t="n">
        <x:v>7.6</x:v>
      </x:c>
      <x:c r="Q14" s="18" t="n">
        <x:v>8</x:v>
      </x:c>
      <x:c r="R14" s="18" t="n">
        <x:v>13</x:v>
      </x:c>
      <x:c r="S14" s="18" t="n">
        <x:v>4</x:v>
      </x:c>
      <x:c r="T14" s="18" t="n">
        <x:v>8</x:v>
      </x:c>
      <x:c r="U14" s="12" t="str">
        <x:v>ОСТАВИТЬ</x:v>
      </x:c>
      <x:c r="V14" s="12" t="str">
        <x:v>CONFIRMED</x:v>
      </x:c>
      <x:c r="W14" s="12" t="str">
        <x:v>Текущий ассортимент из MASTER наполнителей 12.08.2026.</x:v>
      </x:c>
      <x:c r="X14" s="12" t="str">
        <x:f>IF(AND(P14="",N14=""),"НЕТ ИСТОРИИ",IF(IF(P14="",N14/6,P14)&gt;=3,"БЫСТРАЯ",IF(IF(P14="",N14/6,P14)&gt;=1.5,"ХОРОШАЯ",IF(IF(P14="",N14/6,P14)&gt;=0.7,"УМЕРЕННАЯ",IF(IF(P14="",N14/6,P14)&gt;0,"МЕДЛЕННАЯ","НЕТ ПРОДАЖ")))))</x:f>
        <x:v>БЫСТРАЯ</x:v>
      </x:c>
      <x:c r="Y14" s="18" t="n">
        <x:f>IF(OR(T14="",AND(P14="",N14=""),IF(P14="",N14/6,P14)=0),"",T14/IF(P14="",N14/6,P14))</x:f>
        <x:v>1.0526315789473684</x:v>
      </x:c>
      <x:c r="Z14" s="12" t="str">
        <x:v>ФАКТ / текущий SKU</x:v>
      </x:c>
      <x:c r="AA14" s="12" t="str">
        <x:v>ДА</x:v>
      </x:c>
    </x:row>
    <x:row r="15">
      <x:c r="A15" s="12" t="str">
        <x:v>FILL-014</x:v>
      </x:c>
      <x:c r="B15" s="12" t="str">
        <x:v>Наполнители</x:v>
      </x:c>
      <x:c r="C15" s="12" t="str">
        <x:v>Древесный</x:v>
      </x:c>
      <x:c r="D15" s="12" t="str">
        <x:v>Кошки</x:v>
      </x:c>
      <x:c r="E15" s="12" t="str">
        <x:v>CORE</x:v>
      </x:c>
      <x:c r="F15" s="12" t="str">
        <x:v>Высокий</x:v>
      </x:c>
      <x:c r="G15" s="12" t="str">
        <x:v>Зооград/Оникиенко</x:v>
      </x:c>
      <x:c r="H15" s="12" t="str">
        <x:v>Сибирская кошка</x:v>
      </x:c>
      <x:c r="I15" s="12" t="str">
        <x:v>00007457</x:v>
      </x:c>
      <x:c r="J15" s="12" t="str">
        <x:v>Лесной древесный 5 л</x:v>
      </x:c>
      <x:c r="K15" s="14" t="n">
        <x:v>169.9</x:v>
      </x:c>
      <x:c r="L15" s="12" t="str">
        <x:v>A</x:v>
      </x:c>
      <x:c r="M15" s="12" t="str">
        <x:v>X</x:v>
      </x:c>
      <x:c r="N15" s="16" t="n">
        <x:v>43</x:v>
      </x:c>
      <x:c r="O15" s="12" t="str">
        <x:v>180 дней</x:v>
      </x:c>
      <x:c r="P15" s="18" t="n">
        <x:v>7.1</x:v>
      </x:c>
      <x:c r="Q15" s="18" t="n">
        <x:v>6</x:v>
      </x:c>
      <x:c r="R15" s="18" t="n">
        <x:v>12</x:v>
      </x:c>
      <x:c r="S15" s="18" t="n">
        <x:v>4</x:v>
      </x:c>
      <x:c r="T15" s="18" t="n">
        <x:v>8</x:v>
      </x:c>
      <x:c r="U15" s="12" t="str">
        <x:v>ОСТАВИТЬ</x:v>
      </x:c>
      <x:c r="V15" s="12" t="str">
        <x:v>CONFIRMED</x:v>
      </x:c>
      <x:c r="W15" s="12" t="str">
        <x:v>Текущий ассортимент из MASTER наполнителей 12.08.2026.</x:v>
      </x:c>
      <x:c r="X15" s="12" t="str">
        <x:f>IF(AND(P15="",N15=""),"НЕТ ИСТОРИИ",IF(IF(P15="",N15/6,P15)&gt;=3,"БЫСТРАЯ",IF(IF(P15="",N15/6,P15)&gt;=1.5,"ХОРОШАЯ",IF(IF(P15="",N15/6,P15)&gt;=0.7,"УМЕРЕННАЯ",IF(IF(P15="",N15/6,P15)&gt;0,"МЕДЛЕННАЯ","НЕТ ПРОДАЖ")))))</x:f>
        <x:v>БЫСТРАЯ</x:v>
      </x:c>
      <x:c r="Y15" s="18" t="n">
        <x:f>IF(OR(T15="",AND(P15="",N15=""),IF(P15="",N15/6,P15)=0),"",T15/IF(P15="",N15/6,P15))</x:f>
        <x:v>1.1267605633802817</x:v>
      </x:c>
      <x:c r="Z15" s="12" t="str">
        <x:v>ФАКТ / текущий SKU</x:v>
      </x:c>
      <x:c r="AA15" s="12" t="str">
        <x:v>ДА</x:v>
      </x:c>
    </x:row>
    <x:row r="16">
      <x:c r="A16" s="12" t="str">
        <x:v>FILL-015</x:v>
      </x:c>
      <x:c r="B16" s="12" t="str">
        <x:v>Наполнители</x:v>
      </x:c>
      <x:c r="C16" s="12" t="str">
        <x:v>Древесный</x:v>
      </x:c>
      <x:c r="D16" s="12" t="str">
        <x:v>Кошки</x:v>
      </x:c>
      <x:c r="E16" s="12" t="str">
        <x:v>CORE</x:v>
      </x:c>
      <x:c r="F16" s="12" t="str">
        <x:v>Высокий</x:v>
      </x:c>
      <x:c r="G16" s="12" t="str">
        <x:v>Зооград/Оникиенко</x:v>
      </x:c>
      <x:c r="H16" s="12" t="str">
        <x:v>Сибирская кошка</x:v>
      </x:c>
      <x:c r="I16" s="12" t="str">
        <x:v>00011459</x:v>
      </x:c>
      <x:c r="J16" s="12" t="str">
        <x:v>Лесной древесный 7 л</x:v>
      </x:c>
      <x:c r="K16" s="14" t="n">
        <x:v>216.5</x:v>
      </x:c>
      <x:c r="L16" s="12" t="str">
        <x:v>A</x:v>
      </x:c>
      <x:c r="M16" s="12" t="str">
        <x:v>X</x:v>
      </x:c>
      <x:c r="N16" s="16" t="n">
        <x:v>20</x:v>
      </x:c>
      <x:c r="O16" s="12" t="str">
        <x:v>180 дней</x:v>
      </x:c>
      <x:c r="P16" s="18" t="n">
        <x:v>3.3</x:v>
      </x:c>
      <x:c r="Q16" s="18" t="n">
        <x:v>6</x:v>
      </x:c>
      <x:c r="R16" s="18" t="n">
        <x:v>6</x:v>
      </x:c>
      <x:c r="S16" s="18" t="n">
        <x:v>2</x:v>
      </x:c>
      <x:c r="T16" s="18" t="n">
        <x:v>4</x:v>
      </x:c>
      <x:c r="U16" s="12" t="str">
        <x:v>ОСТАВИТЬ</x:v>
      </x:c>
      <x:c r="V16" s="12" t="str">
        <x:v>CONFIRMED</x:v>
      </x:c>
      <x:c r="W16" s="12" t="str">
        <x:v>Текущий ассортимент из MASTER наполнителей 12.08.2026.</x:v>
      </x:c>
      <x:c r="X16" s="12" t="str">
        <x:f>IF(AND(P16="",N16=""),"НЕТ ИСТОРИИ",IF(IF(P16="",N16/6,P16)&gt;=3,"БЫСТРАЯ",IF(IF(P16="",N16/6,P16)&gt;=1.5,"ХОРОШАЯ",IF(IF(P16="",N16/6,P16)&gt;=0.7,"УМЕРЕННАЯ",IF(IF(P16="",N16/6,P16)&gt;0,"МЕДЛЕННАЯ","НЕТ ПРОДАЖ")))))</x:f>
        <x:v>БЫСТРАЯ</x:v>
      </x:c>
      <x:c r="Y16" s="18" t="n">
        <x:f>IF(OR(T16="",AND(P16="",N16=""),IF(P16="",N16/6,P16)=0),"",T16/IF(P16="",N16/6,P16))</x:f>
        <x:v>1.2121212121212122</x:v>
      </x:c>
      <x:c r="Z16" s="12" t="str">
        <x:v>ФАКТ / текущий SKU</x:v>
      </x:c>
      <x:c r="AA16" s="12" t="str">
        <x:v>ДА</x:v>
      </x:c>
    </x:row>
    <x:row r="17">
      <x:c r="A17" s="12" t="str">
        <x:v>FILL-016</x:v>
      </x:c>
      <x:c r="B17" s="12" t="str">
        <x:v>Наполнители</x:v>
      </x:c>
      <x:c r="C17" s="12" t="str">
        <x:v>Минеральный комкующийся</x:v>
      </x:c>
      <x:c r="D17" s="12" t="str">
        <x:v>Кошки</x:v>
      </x:c>
      <x:c r="E17" s="12" t="str">
        <x:v>OPTIONAL</x:v>
      </x:c>
      <x:c r="F17" s="12" t="str">
        <x:v>Средний</x:v>
      </x:c>
      <x:c r="G17" s="12" t="str">
        <x:v>Зооград/Оникиенко</x:v>
      </x:c>
      <x:c r="H17" s="12" t="str">
        <x:v>Сибирская кошка</x:v>
      </x:c>
      <x:c r="I17" s="12" t="str">
        <x:v>00023904</x:v>
      </x:c>
      <x:c r="J17" s="12" t="str">
        <x:v>Супер комкующийся 3 л</x:v>
      </x:c>
      <x:c r="K17" s="14" t="n">
        <x:v>214.6</x:v>
      </x:c>
      <x:c r="L17" s="12" t="str">
        <x:v>B</x:v>
      </x:c>
      <x:c r="M17" s="12" t="str">
        <x:v>Y</x:v>
      </x:c>
      <x:c r="N17" s="16" t="n">
        <x:v>6</x:v>
      </x:c>
      <x:c r="O17" s="12" t="str">
        <x:v>180 дней</x:v>
      </x:c>
      <x:c r="P17" s="18" t="n">
        <x:v>1</x:v>
      </x:c>
      <x:c r="Q17" s="18" t="n">
        <x:v>2</x:v>
      </x:c>
      <x:c r="R17" s="18" t="n">
        <x:v>2</x:v>
      </x:c>
      <x:c r="S17" s="18" t="n">
        <x:v>1</x:v>
      </x:c>
      <x:c r="T17" s="18" t="n">
        <x:v>2</x:v>
      </x:c>
      <x:c r="U17" s="12" t="str">
        <x:v>ОСТАВИТЬ</x:v>
      </x:c>
      <x:c r="V17" s="12" t="str">
        <x:v>CONFIRMED</x:v>
      </x:c>
      <x:c r="W17" s="12" t="str">
        <x:v>Текущий ассортимент из MASTER наполнителей 12.08.2026.</x:v>
      </x:c>
      <x:c r="X17" s="12" t="str">
        <x:f>IF(AND(P17="",N17=""),"НЕТ ИСТОРИИ",IF(IF(P17="",N17/6,P17)&gt;=3,"БЫСТРАЯ",IF(IF(P17="",N17/6,P17)&gt;=1.5,"ХОРОШАЯ",IF(IF(P17="",N17/6,P17)&gt;=0.7,"УМЕРЕННАЯ",IF(IF(P17="",N17/6,P17)&gt;0,"МЕДЛЕННАЯ","НЕТ ПРОДАЖ")))))</x:f>
        <x:v>УМЕРЕННАЯ</x:v>
      </x:c>
      <x:c r="Y17" s="18" t="n">
        <x:f>IF(OR(T17="",AND(P17="",N17=""),IF(P17="",N17/6,P17)=0),"",T17/IF(P17="",N17/6,P17))</x:f>
        <x:v>2</x:v>
      </x:c>
      <x:c r="Z17" s="12" t="str">
        <x:v>ФАКТ / текущий SKU</x:v>
      </x:c>
      <x:c r="AA17" s="12" t="str">
        <x:v>ДА</x:v>
      </x:c>
    </x:row>
    <x:row r="18">
      <x:c r="A18" s="12" t="str">
        <x:v>FILL-017</x:v>
      </x:c>
      <x:c r="B18" s="12" t="str">
        <x:v>Наполнители</x:v>
      </x:c>
      <x:c r="C18" s="12" t="str">
        <x:v>Минеральный комкующийся</x:v>
      </x:c>
      <x:c r="D18" s="12" t="str">
        <x:v>Кошки</x:v>
      </x:c>
      <x:c r="E18" s="12" t="str">
        <x:v>CORE</x:v>
      </x:c>
      <x:c r="F18" s="12" t="str">
        <x:v>Высокий</x:v>
      </x:c>
      <x:c r="G18" s="12" t="str">
        <x:v>Зооград/Оникиенко</x:v>
      </x:c>
      <x:c r="H18" s="12" t="str">
        <x:v>Сибирская кошка</x:v>
      </x:c>
      <x:c r="I18" s="12" t="str">
        <x:v>00013000</x:v>
      </x:c>
      <x:c r="J18" s="12" t="str">
        <x:v>Супер комкующийся 5 л</x:v>
      </x:c>
      <x:c r="K18" s="14" t="n">
        <x:v>307.3</x:v>
      </x:c>
      <x:c r="L18" s="12" t="str">
        <x:v>A</x:v>
      </x:c>
      <x:c r="M18" s="12" t="str">
        <x:v>X</x:v>
      </x:c>
      <x:c r="N18" s="16" t="n">
        <x:v>7</x:v>
      </x:c>
      <x:c r="O18" s="12" t="str">
        <x:v>180 дней</x:v>
      </x:c>
      <x:c r="P18" s="18" t="n">
        <x:v>1.2</x:v>
      </x:c>
      <x:c r="Q18" s="18" t="n">
        <x:v>3</x:v>
      </x:c>
      <x:c r="R18" s="18" t="n">
        <x:v>3</x:v>
      </x:c>
      <x:c r="S18" s="18" t="n">
        <x:v>2</x:v>
      </x:c>
      <x:c r="T18" s="18" t="n">
        <x:v>3</x:v>
      </x:c>
      <x:c r="U18" s="12" t="str">
        <x:v>ОСТАВИТЬ</x:v>
      </x:c>
      <x:c r="V18" s="12" t="str">
        <x:v>CONFIRMED</x:v>
      </x:c>
      <x:c r="W18" s="12" t="str">
        <x:v>Текущий ассортимент из MASTER наполнителей 12.08.2026.</x:v>
      </x:c>
      <x:c r="X18" s="12" t="str">
        <x:f>IF(AND(P18="",N18=""),"НЕТ ИСТОРИИ",IF(IF(P18="",N18/6,P18)&gt;=3,"БЫСТРАЯ",IF(IF(P18="",N18/6,P18)&gt;=1.5,"ХОРОШАЯ",IF(IF(P18="",N18/6,P18)&gt;=0.7,"УМЕРЕННАЯ",IF(IF(P18="",N18/6,P18)&gt;0,"МЕДЛЕННАЯ","НЕТ ПРОДАЖ")))))</x:f>
        <x:v>УМЕРЕННАЯ</x:v>
      </x:c>
      <x:c r="Y18" s="18" t="n">
        <x:f>IF(OR(T18="",AND(P18="",N18=""),IF(P18="",N18/6,P18)=0),"",T18/IF(P18="",N18/6,P18))</x:f>
        <x:v>2.5</x:v>
      </x:c>
      <x:c r="Z18" s="12" t="str">
        <x:v>ФАКТ / текущий SKU</x:v>
      </x:c>
      <x:c r="AA18" s="12" t="str">
        <x:v>ДА</x:v>
      </x:c>
    </x:row>
    <x:row r="19">
      <x:c r="A19" s="12" t="str">
        <x:v>FILL-018</x:v>
      </x:c>
      <x:c r="B19" s="12" t="str">
        <x:v>Наполнители</x:v>
      </x:c>
      <x:c r="C19" s="12" t="str">
        <x:v>Минеральный впитывающий</x:v>
      </x:c>
      <x:c r="D19" s="12" t="str">
        <x:v>Кошки</x:v>
      </x:c>
      <x:c r="E19" s="12" t="str">
        <x:v>CORE</x:v>
      </x:c>
      <x:c r="F19" s="12" t="str">
        <x:v>Высокий</x:v>
      </x:c>
      <x:c r="G19" s="12" t="str">
        <x:v>Зооград/Оникиенко</x:v>
      </x:c>
      <x:c r="H19" s="12" t="str">
        <x:v>Сибирская кошка</x:v>
      </x:c>
      <x:c r="I19" s="12" t="str">
        <x:v>00010662</x:v>
      </x:c>
      <x:c r="J19" s="12" t="str">
        <x:v>Универсал впитывающий 5 л</x:v>
      </x:c>
      <x:c r="K19" s="14" t="n">
        <x:v>178.7</x:v>
      </x:c>
      <x:c r="L19" s="12" t="str">
        <x:v>A</x:v>
      </x:c>
      <x:c r="M19" s="12" t="str">
        <x:v>X</x:v>
      </x:c>
      <x:c r="N19" s="16" t="n">
        <x:v>14</x:v>
      </x:c>
      <x:c r="O19" s="12" t="str">
        <x:v>180 дней</x:v>
      </x:c>
      <x:c r="P19" s="18" t="n">
        <x:v>2.3</x:v>
      </x:c>
      <x:c r="Q19" s="18" t="n">
        <x:v>5</x:v>
      </x:c>
      <x:c r="R19" s="18" t="n">
        <x:v>4</x:v>
      </x:c>
      <x:c r="S19" s="18" t="n">
        <x:v>2</x:v>
      </x:c>
      <x:c r="T19" s="18" t="n">
        <x:v>3</x:v>
      </x:c>
      <x:c r="U19" s="12" t="str">
        <x:v>ОСТАВИТЬ</x:v>
      </x:c>
      <x:c r="V19" s="12" t="str">
        <x:v>CONFIRMED</x:v>
      </x:c>
      <x:c r="W19" s="12" t="str">
        <x:v>Текущий ассортимент из MASTER наполнителей 12.08.2026.</x:v>
      </x:c>
      <x:c r="X19" s="12" t="str">
        <x:f>IF(AND(P19="",N19=""),"НЕТ ИСТОРИИ",IF(IF(P19="",N19/6,P19)&gt;=3,"БЫСТРАЯ",IF(IF(P19="",N19/6,P19)&gt;=1.5,"ХОРОШАЯ",IF(IF(P19="",N19/6,P19)&gt;=0.7,"УМЕРЕННАЯ",IF(IF(P19="",N19/6,P19)&gt;0,"МЕДЛЕННАЯ","НЕТ ПРОДАЖ")))))</x:f>
        <x:v>ХОРОШАЯ</x:v>
      </x:c>
      <x:c r="Y19" s="18" t="n">
        <x:f>IF(OR(T19="",AND(P19="",N19=""),IF(P19="",N19/6,P19)=0),"",T19/IF(P19="",N19/6,P19))</x:f>
        <x:v>1.3043478260869565</x:v>
      </x:c>
      <x:c r="Z19" s="12" t="str">
        <x:v>ФАКТ / текущий SKU</x:v>
      </x:c>
      <x:c r="AA19" s="12" t="str">
        <x:v>ДА</x:v>
      </x:c>
    </x:row>
    <x:row r="20">
      <x:c r="A20" s="12" t="str">
        <x:v>FILL-019</x:v>
      </x:c>
      <x:c r="B20" s="12" t="str">
        <x:v>Наполнители</x:v>
      </x:c>
      <x:c r="C20" s="12" t="str">
        <x:v>Силикагель / впитывающий</x:v>
      </x:c>
      <x:c r="D20" s="12" t="str">
        <x:v>Кошки</x:v>
      </x:c>
      <x:c r="E20" s="12" t="str">
        <x:v>OPTIONAL</x:v>
      </x:c>
      <x:c r="F20" s="12" t="str">
        <x:v>Средний</x:v>
      </x:c>
      <x:c r="G20" s="12" t="str">
        <x:v>Зооград/Оникиенко</x:v>
      </x:c>
      <x:c r="H20" s="12" t="str">
        <x:v>SAVANNA</x:v>
      </x:c>
      <x:c r="I20" s="12" t="str">
        <x:v>КА-00055044</x:v>
      </x:c>
      <x:c r="J20" s="12" t="str">
        <x:v>SAVANNA ICE 4 л лимон, 1,8 кг</x:v>
      </x:c>
      <x:c r="K20" s="14" t="n">
        <x:v>455.5</x:v>
      </x:c>
      <x:c r="L20" s="12" t="str">
        <x:v>A</x:v>
      </x:c>
      <x:c r="M20" s="12" t="str">
        <x:v>X</x:v>
      </x:c>
      <x:c r="N20" s="16" t="n">
        <x:v>6</x:v>
      </x:c>
      <x:c r="O20" s="12" t="str">
        <x:v>180 дней</x:v>
      </x:c>
      <x:c r="P20" s="18" t="n">
        <x:v>1</x:v>
      </x:c>
      <x:c r="Q20" s="18" t="n">
        <x:v>2</x:v>
      </x:c>
      <x:c r="R20" s="18" t="n">
        <x:v>2</x:v>
      </x:c>
      <x:c r="S20" s="18" t="n">
        <x:v>1</x:v>
      </x:c>
      <x:c r="T20" s="18" t="n">
        <x:v>2</x:v>
      </x:c>
      <x:c r="U20" s="12" t="str">
        <x:v>ОСТАВИТЬ</x:v>
      </x:c>
      <x:c r="V20" s="12" t="str">
        <x:v>CHECK 1С</x:v>
      </x:c>
      <x:c r="W20" s="12" t="str">
        <x:v>Текущий ассортимент из MASTER наполнителей 12.08.2026.</x:v>
      </x:c>
      <x:c r="X20" s="12" t="str">
        <x:f>IF(AND(P20="",N20=""),"НЕТ ИСТОРИИ",IF(IF(P20="",N20/6,P20)&gt;=3,"БЫСТРАЯ",IF(IF(P20="",N20/6,P20)&gt;=1.5,"ХОРОШАЯ",IF(IF(P20="",N20/6,P20)&gt;=0.7,"УМЕРЕННАЯ",IF(IF(P20="",N20/6,P20)&gt;0,"МЕДЛЕННАЯ","НЕТ ПРОДАЖ")))))</x:f>
        <x:v>УМЕРЕННАЯ</x:v>
      </x:c>
      <x:c r="Y20" s="18" t="n">
        <x:f>IF(OR(T20="",AND(P20="",N20=""),IF(P20="",N20/6,P20)=0),"",T20/IF(P20="",N20/6,P20))</x:f>
        <x:v>2</x:v>
      </x:c>
      <x:c r="Z20" s="12" t="str">
        <x:v>ФАКТ / текущий SKU</x:v>
      </x:c>
      <x:c r="AA20" s="12" t="str">
        <x:v>ДА</x:v>
      </x:c>
    </x:row>
    <x:row r="21">
      <x:c r="A21" s="12" t="str">
        <x:v>FILL-020</x:v>
      </x:c>
      <x:c r="B21" s="12" t="str">
        <x:v>Наполнители</x:v>
      </x:c>
      <x:c r="C21" s="12" t="str">
        <x:v>Силикагель / впитывающий</x:v>
      </x:c>
      <x:c r="D21" s="12" t="str">
        <x:v>Кошки</x:v>
      </x:c>
      <x:c r="E21" s="12" t="str">
        <x:v>CORE</x:v>
      </x:c>
      <x:c r="F21" s="12" t="str">
        <x:v>Высокий</x:v>
      </x:c>
      <x:c r="G21" s="12" t="str">
        <x:v>Зооград/Оникиенко</x:v>
      </x:c>
      <x:c r="H21" s="12" t="str">
        <x:v>SAVANNA</x:v>
      </x:c>
      <x:c r="I21" s="12" t="str">
        <x:v>КА-00055051</x:v>
      </x:c>
      <x:c r="J21" s="12" t="str">
        <x:v>SAVANNA ICE 4 л цветные гранулы, 1,8 кг</x:v>
      </x:c>
      <x:c r="K21" s="14" t="n">
        <x:v>403.11</x:v>
      </x:c>
      <x:c r="L21" s="12" t="str">
        <x:v>A</x:v>
      </x:c>
      <x:c r="M21" s="12" t="str">
        <x:v>X</x:v>
      </x:c>
      <x:c r="N21" s="16" t="n">
        <x:v>10</x:v>
      </x:c>
      <x:c r="O21" s="12" t="str">
        <x:v>180 дней</x:v>
      </x:c>
      <x:c r="P21" s="18" t="n">
        <x:v>1.7</x:v>
      </x:c>
      <x:c r="Q21" s="18" t="n">
        <x:v>2</x:v>
      </x:c>
      <x:c r="R21" s="18" t="n">
        <x:v>4</x:v>
      </x:c>
      <x:c r="S21" s="18" t="n">
        <x:v>2</x:v>
      </x:c>
      <x:c r="T21" s="18" t="n">
        <x:v>3</x:v>
      </x:c>
      <x:c r="U21" s="12" t="str">
        <x:v>ОСТАВИТЬ</x:v>
      </x:c>
      <x:c r="V21" s="12" t="str">
        <x:v>CHECK 1С</x:v>
      </x:c>
      <x:c r="W21" s="12" t="str">
        <x:v>Текущий ассортимент из MASTER наполнителей 12.08.2026.</x:v>
      </x:c>
      <x:c r="X21" s="12" t="str">
        <x:f>IF(AND(P21="",N21=""),"НЕТ ИСТОРИИ",IF(IF(P21="",N21/6,P21)&gt;=3,"БЫСТРАЯ",IF(IF(P21="",N21/6,P21)&gt;=1.5,"ХОРОШАЯ",IF(IF(P21="",N21/6,P21)&gt;=0.7,"УМЕРЕННАЯ",IF(IF(P21="",N21/6,P21)&gt;0,"МЕДЛЕННАЯ","НЕТ ПРОДАЖ")))))</x:f>
        <x:v>ХОРОШАЯ</x:v>
      </x:c>
      <x:c r="Y21" s="18" t="n">
        <x:f>IF(OR(T21="",AND(P21="",N21=""),IF(P21="",N21/6,P21)=0),"",T21/IF(P21="",N21/6,P21))</x:f>
        <x:v>1.7647058823529411</x:v>
      </x:c>
      <x:c r="Z21" s="12" t="str">
        <x:v>ФАКТ / текущий SKU</x:v>
      </x:c>
      <x:c r="AA21" s="12" t="str">
        <x:v>ДА</x:v>
      </x:c>
    </x:row>
    <x:row r="22">
      <x:c r="A22" s="12" t="str">
        <x:v>FILL-021</x:v>
      </x:c>
      <x:c r="B22" s="12" t="str">
        <x:v>Наполнители</x:v>
      </x:c>
      <x:c r="C22" s="12" t="str">
        <x:v>Силикагель / впитывающий</x:v>
      </x:c>
      <x:c r="D22" s="12" t="str">
        <x:v>Кошки</x:v>
      </x:c>
      <x:c r="E22" s="12" t="str">
        <x:v>OPTIONAL</x:v>
      </x:c>
      <x:c r="F22" s="12" t="str">
        <x:v>Средний</x:v>
      </x:c>
      <x:c r="G22" s="12" t="str">
        <x:v>Зооград/Оникиенко</x:v>
      </x:c>
      <x:c r="H22" s="12" t="str">
        <x:v>SAVANNA</x:v>
      </x:c>
      <x:c r="I22" s="12" t="str">
        <x:v>КА-00055045</x:v>
      </x:c>
      <x:c r="J22" s="12" t="str">
        <x:v>SAVANNA ICE 4 л цветочный, 1,8 кг</x:v>
      </x:c>
      <x:c r="K22" s="14" t="n">
        <x:v>455.5</x:v>
      </x:c>
      <x:c r="L22" s="12" t="str">
        <x:v>A</x:v>
      </x:c>
      <x:c r="M22" s="12" t="str">
        <x:v>X</x:v>
      </x:c>
      <x:c r="N22" s="16" t="n">
        <x:v>4</x:v>
      </x:c>
      <x:c r="O22" s="12" t="str">
        <x:v>180 дней</x:v>
      </x:c>
      <x:c r="P22" s="18" t="n">
        <x:v>0.7</x:v>
      </x:c>
      <x:c r="Q22" s="18" t="n">
        <x:v>3</x:v>
      </x:c>
      <x:c r="R22" s="18" t="n">
        <x:v>1</x:v>
      </x:c>
      <x:c r="S22" s="18" t="n">
        <x:v>1</x:v>
      </x:c>
      <x:c r="T22" s="18" t="n">
        <x:v>2</x:v>
      </x:c>
      <x:c r="U22" s="12" t="str">
        <x:v>ОСТАВИТЬ</x:v>
      </x:c>
      <x:c r="V22" s="12" t="str">
        <x:v>CHECK 1С</x:v>
      </x:c>
      <x:c r="W22" s="12" t="str">
        <x:v>Текущий ассортимент из MASTER наполнителей 12.08.2026.</x:v>
      </x:c>
      <x:c r="X22" s="12" t="str">
        <x:f>IF(AND(P22="",N22=""),"НЕТ ИСТОРИИ",IF(IF(P22="",N22/6,P22)&gt;=3,"БЫСТРАЯ",IF(IF(P22="",N22/6,P22)&gt;=1.5,"ХОРОШАЯ",IF(IF(P22="",N22/6,P22)&gt;=0.7,"УМЕРЕННАЯ",IF(IF(P22="",N22/6,P22)&gt;0,"МЕДЛЕННАЯ","НЕТ ПРОДАЖ")))))</x:f>
        <x:v>УМЕРЕННАЯ</x:v>
      </x:c>
      <x:c r="Y22" s="18" t="n">
        <x:f>IF(OR(T22="",AND(P22="",N22=""),IF(P22="",N22/6,P22)=0),"",T22/IF(P22="",N22/6,P22))</x:f>
        <x:v>2.857142857142857</x:v>
      </x:c>
      <x:c r="Z22" s="12" t="str">
        <x:v>ФАКТ / текущий SKU</x:v>
      </x:c>
      <x:c r="AA22" s="12" t="str">
        <x:v>ДА</x:v>
      </x:c>
    </x:row>
    <x:row r="23">
      <x:c r="A23" s="12" t="str">
        <x:v>FILL-022</x:v>
      </x:c>
      <x:c r="B23" s="12" t="str">
        <x:v>Наполнители</x:v>
      </x:c>
      <x:c r="C23" s="12" t="str">
        <x:v>Силикагель / впитывающий</x:v>
      </x:c>
      <x:c r="D23" s="12" t="str">
        <x:v>Кошки</x:v>
      </x:c>
      <x:c r="E23" s="12" t="str">
        <x:v>CORE</x:v>
      </x:c>
      <x:c r="F23" s="12" t="str">
        <x:v>Высокий</x:v>
      </x:c>
      <x:c r="G23" s="12" t="str">
        <x:v>Зооград/Оникиенко</x:v>
      </x:c>
      <x:c r="H23" s="12" t="str">
        <x:v>SAVANNA</x:v>
      </x:c>
      <x:c r="I23" s="12" t="str">
        <x:v>КА-00055042</x:v>
      </x:c>
      <x:c r="J23" s="12" t="str">
        <x:v>SAVANNA ICE 4 л яблоко, 1,8 кг</x:v>
      </x:c>
      <x:c r="K23" s="14" t="n">
        <x:v>455.5</x:v>
      </x:c>
      <x:c r="L23" s="12" t="str">
        <x:v>A</x:v>
      </x:c>
      <x:c r="M23" s="12" t="str">
        <x:v>X</x:v>
      </x:c>
      <x:c r="N23" s="16" t="n">
        <x:v>8</x:v>
      </x:c>
      <x:c r="O23" s="12" t="str">
        <x:v>180 дней</x:v>
      </x:c>
      <x:c r="P23" s="18" t="n">
        <x:v>1.3</x:v>
      </x:c>
      <x:c r="Q23" s="18"/>
      <x:c r="R23" s="18" t="n">
        <x:v>3</x:v>
      </x:c>
      <x:c r="S23" s="18" t="n">
        <x:v>2</x:v>
      </x:c>
      <x:c r="T23" s="18" t="n">
        <x:v>3</x:v>
      </x:c>
      <x:c r="U23" s="12" t="str">
        <x:v>ОСТАВИТЬ</x:v>
      </x:c>
      <x:c r="V23" s="12" t="str">
        <x:v>CHECK 1С</x:v>
      </x:c>
      <x:c r="W23" s="12" t="str">
        <x:v>Текущий ассортимент из MASTER наполнителей 12.08.2026. Восстановлено из исходного Min/Max/заказа: 8 продаж, скорость 1.3/мес.; отсутствие текущего остатка не трактовать как 0.</x:v>
      </x:c>
      <x:c r="X23" s="12" t="str">
        <x:f>IF(AND(P23="",N23=""),"НЕТ ИСТОРИИ",IF(IF(P23="",N23/6,P23)&gt;=3,"БЫСТРАЯ",IF(IF(P23="",N23/6,P23)&gt;=1.5,"ХОРОШАЯ",IF(IF(P23="",N23/6,P23)&gt;=0.7,"УМЕРЕННАЯ",IF(IF(P23="",N23/6,P23)&gt;0,"МЕДЛЕННАЯ","НЕТ ПРОДАЖ")))))</x:f>
        <x:v>УМЕРЕННАЯ</x:v>
      </x:c>
      <x:c r="Y23" s="18" t="n">
        <x:f>IF(OR(T23="",AND(P23="",N23=""),IF(P23="",N23/6,P23)=0),"",T23/IF(P23="",N23/6,P23))</x:f>
        <x:v>2.3076923076923075</x:v>
      </x:c>
      <x:c r="Z23" s="12" t="str">
        <x:v>ФАКТ / текущий SKU</x:v>
      </x:c>
      <x:c r="AA23" s="12" t="str">
        <x:v>ДА</x:v>
      </x:c>
    </x:row>
    <x:row r="24">
      <x:c r="A24" s="12" t="str">
        <x:v>FILL-023</x:v>
      </x:c>
      <x:c r="B24" s="12" t="str">
        <x:v>Наполнители</x:v>
      </x:c>
      <x:c r="C24" s="12" t="str">
        <x:v>Силикагель / впитывающий</x:v>
      </x:c>
      <x:c r="D24" s="12" t="str">
        <x:v>Кошки</x:v>
      </x:c>
      <x:c r="E24" s="12" t="str">
        <x:v>OPTIONAL</x:v>
      </x:c>
      <x:c r="F24" s="12" t="str">
        <x:v>Средний</x:v>
      </x:c>
      <x:c r="G24" s="12" t="str">
        <x:v>Зооград/Оникиенко</x:v>
      </x:c>
      <x:c r="H24" s="12" t="str">
        <x:v>SAVANNA</x:v>
      </x:c>
      <x:c r="I24" s="12" t="str">
        <x:v>КА-00055046</x:v>
      </x:c>
      <x:c r="J24" s="12" t="str">
        <x:v>SAVANNA ICE 8 л лимон, 3,2 кг</x:v>
      </x:c>
      <x:c r="K24" s="14" t="n">
        <x:v>752.2</x:v>
      </x:c>
      <x:c r="L24" s="12" t="str">
        <x:v>B</x:v>
      </x:c>
      <x:c r="M24" s="12" t="str">
        <x:v>X</x:v>
      </x:c>
      <x:c r="N24" s="16" t="n">
        <x:v>3</x:v>
      </x:c>
      <x:c r="O24" s="12" t="str">
        <x:v>180 дней</x:v>
      </x:c>
      <x:c r="P24" s="18" t="n">
        <x:v>0.5</x:v>
      </x:c>
      <x:c r="Q24" s="18" t="n">
        <x:v>1</x:v>
      </x:c>
      <x:c r="R24" s="18" t="n">
        <x:v>1</x:v>
      </x:c>
      <x:c r="S24" s="18" t="n">
        <x:v>1</x:v>
      </x:c>
      <x:c r="T24" s="18" t="n">
        <x:v>2</x:v>
      </x:c>
      <x:c r="U24" s="12" t="str">
        <x:v>ОСТАВИТЬ</x:v>
      </x:c>
      <x:c r="V24" s="12" t="str">
        <x:v>CHECK 1С</x:v>
      </x:c>
      <x:c r="W24" s="12" t="str">
        <x:v>Текущий ассортимент из MASTER наполнителей 12.08.2026. Восстановлено из исходного Min/Max: 3 продажи, скорость около 0.5/мес.; OPTIONAL подтверждается низкой оборачиваемостью.</x:v>
      </x:c>
      <x:c r="X24" s="12" t="str">
        <x:f>IF(AND(P24="",N24=""),"НЕТ ИСТОРИИ",IF(IF(P24="",N24/6,P24)&gt;=3,"БЫСТРАЯ",IF(IF(P24="",N24/6,P24)&gt;=1.5,"ХОРОШАЯ",IF(IF(P24="",N24/6,P24)&gt;=0.7,"УМЕРЕННАЯ",IF(IF(P24="",N24/6,P24)&gt;0,"МЕДЛЕННАЯ","НЕТ ПРОДАЖ")))))</x:f>
        <x:v>МЕДЛЕННАЯ</x:v>
      </x:c>
      <x:c r="Y24" s="18" t="n">
        <x:f>IF(OR(T24="",AND(P24="",N24=""),IF(P24="",N24/6,P24)=0),"",T24/IF(P24="",N24/6,P24))</x:f>
        <x:v>4</x:v>
      </x:c>
      <x:c r="Z24" s="12" t="str">
        <x:v>ФАКТ / текущий SKU</x:v>
      </x:c>
      <x:c r="AA24" s="12" t="str">
        <x:v>ДА</x:v>
      </x:c>
    </x:row>
    <x:row r="25">
      <x:c r="A25" s="12" t="str">
        <x:v>FILL-024</x:v>
      </x:c>
      <x:c r="B25" s="12" t="str">
        <x:v>Наполнители</x:v>
      </x:c>
      <x:c r="C25" s="12" t="str">
        <x:v>Силикагель / впитывающий</x:v>
      </x:c>
      <x:c r="D25" s="12" t="str">
        <x:v>Кошки</x:v>
      </x:c>
      <x:c r="E25" s="12" t="str">
        <x:v>CORE</x:v>
      </x:c>
      <x:c r="F25" s="12" t="str">
        <x:v>Высокий</x:v>
      </x:c>
      <x:c r="G25" s="12" t="str">
        <x:v>Зооград/Оникиенко</x:v>
      </x:c>
      <x:c r="H25" s="12" t="str">
        <x:v>SAVANNA</x:v>
      </x:c>
      <x:c r="I25" s="12" t="str">
        <x:v>КА-00055049</x:v>
      </x:c>
      <x:c r="J25" s="12" t="str">
        <x:v>SAVANNA ICE 8 л цветные гранулы, 3,2 кг</x:v>
      </x:c>
      <x:c r="K25" s="14" t="n">
        <x:v>928.2</x:v>
      </x:c>
      <x:c r="L25" s="12" t="str">
        <x:v>A</x:v>
      </x:c>
      <x:c r="M25" s="12" t="str">
        <x:v>X</x:v>
      </x:c>
      <x:c r="N25" s="16" t="n">
        <x:v>7</x:v>
      </x:c>
      <x:c r="O25" s="12" t="str">
        <x:v>180 дней</x:v>
      </x:c>
      <x:c r="P25" s="18" t="n">
        <x:v>1.2</x:v>
      </x:c>
      <x:c r="Q25" s="18" t="n">
        <x:v>2</x:v>
      </x:c>
      <x:c r="R25" s="18" t="n">
        <x:v>2</x:v>
      </x:c>
      <x:c r="S25" s="18" t="n">
        <x:v>2</x:v>
      </x:c>
      <x:c r="T25" s="18" t="n">
        <x:v>3</x:v>
      </x:c>
      <x:c r="U25" s="12" t="str">
        <x:v>ОСТАВИТЬ</x:v>
      </x:c>
      <x:c r="V25" s="12" t="str">
        <x:v>CHECK 1С</x:v>
      </x:c>
      <x:c r="W25" s="12" t="str">
        <x:v>Текущий ассортимент из MASTER наполнителей 12.08.2026. Восстановлено из исходного Min/Max: 7 продаж, скорость около 1.2/мес.; CORE функциональный, но запас ограничен.</x:v>
      </x:c>
      <x:c r="X25" s="12" t="str">
        <x:f>IF(AND(P25="",N25=""),"НЕТ ИСТОРИИ",IF(IF(P25="",N25/6,P25)&gt;=3,"БЫСТРАЯ",IF(IF(P25="",N25/6,P25)&gt;=1.5,"ХОРОШАЯ",IF(IF(P25="",N25/6,P25)&gt;=0.7,"УМЕРЕННАЯ",IF(IF(P25="",N25/6,P25)&gt;0,"МЕДЛЕННАЯ","НЕТ ПРОДАЖ")))))</x:f>
        <x:v>УМЕРЕННАЯ</x:v>
      </x:c>
      <x:c r="Y25" s="18" t="n">
        <x:f>IF(OR(T25="",AND(P25="",N25=""),IF(P25="",N25/6,P25)=0),"",T25/IF(P25="",N25/6,P25))</x:f>
        <x:v>2.5</x:v>
      </x:c>
      <x:c r="Z25" s="12" t="str">
        <x:v>ФАКТ / текущий SKU</x:v>
      </x:c>
      <x:c r="AA25" s="12" t="str">
        <x:v>ДА</x:v>
      </x:c>
    </x:row>
    <x:row r="26">
      <x:c r="A26" s="12" t="str">
        <x:v>FILL-025</x:v>
      </x:c>
      <x:c r="B26" s="12" t="str">
        <x:v>Наполнители</x:v>
      </x:c>
      <x:c r="C26" s="12" t="str">
        <x:v>Силикагель / впитывающий</x:v>
      </x:c>
      <x:c r="D26" s="12" t="str">
        <x:v>Кошки</x:v>
      </x:c>
      <x:c r="E26" s="12" t="str">
        <x:v>OPTIONAL</x:v>
      </x:c>
      <x:c r="F26" s="12" t="str">
        <x:v>Средний</x:v>
      </x:c>
      <x:c r="G26" s="12" t="str">
        <x:v>Зооград/Оникиенко</x:v>
      </x:c>
      <x:c r="H26" s="12" t="str">
        <x:v>SAVANNA</x:v>
      </x:c>
      <x:c r="I26" s="12" t="str">
        <x:v>КА-00055048</x:v>
      </x:c>
      <x:c r="J26" s="12" t="str">
        <x:v>SAVANNA ICE 8 л цветочный, 3,2 кг</x:v>
      </x:c>
      <x:c r="K26" s="14" t="n">
        <x:v>946.6</x:v>
      </x:c>
      <x:c r="L26" s="12" t="str">
        <x:v>A</x:v>
      </x:c>
      <x:c r="M26" s="12" t="str">
        <x:v>X</x:v>
      </x:c>
      <x:c r="N26" s="16" t="n">
        <x:v>5</x:v>
      </x:c>
      <x:c r="O26" s="12" t="str">
        <x:v>180 дней</x:v>
      </x:c>
      <x:c r="P26" s="18" t="n">
        <x:v>0.8</x:v>
      </x:c>
      <x:c r="Q26" s="18" t="n">
        <x:v>3</x:v>
      </x:c>
      <x:c r="R26" s="18" t="n">
        <x:v>2</x:v>
      </x:c>
      <x:c r="S26" s="18" t="n">
        <x:v>1</x:v>
      </x:c>
      <x:c r="T26" s="18" t="n">
        <x:v>2</x:v>
      </x:c>
      <x:c r="U26" s="12" t="str">
        <x:v>ОСТАВИТЬ</x:v>
      </x:c>
      <x:c r="V26" s="12" t="str">
        <x:v>CHECK 1С</x:v>
      </x:c>
      <x:c r="W26" s="12" t="str">
        <x:v>Текущий ассортимент из MASTER наполнителей 12.08.2026.</x:v>
      </x:c>
      <x:c r="X26" s="12" t="str">
        <x:f>IF(AND(P26="",N26=""),"НЕТ ИСТОРИИ",IF(IF(P26="",N26/6,P26)&gt;=3,"БЫСТРАЯ",IF(IF(P26="",N26/6,P26)&gt;=1.5,"ХОРОШАЯ",IF(IF(P26="",N26/6,P26)&gt;=0.7,"УМЕРЕННАЯ",IF(IF(P26="",N26/6,P26)&gt;0,"МЕДЛЕННАЯ","НЕТ ПРОДАЖ")))))</x:f>
        <x:v>УМЕРЕННАЯ</x:v>
      </x:c>
      <x:c r="Y26" s="18" t="n">
        <x:f>IF(OR(T26="",AND(P26="",N26=""),IF(P26="",N26/6,P26)=0),"",T26/IF(P26="",N26/6,P26))</x:f>
        <x:v>2.5</x:v>
      </x:c>
      <x:c r="Z26" s="12" t="str">
        <x:v>ФАКТ / текущий SKU</x:v>
      </x:c>
      <x:c r="AA26" s="12" t="str">
        <x:v>ДА</x:v>
      </x:c>
    </x:row>
    <x:row r="27">
      <x:c r="A27" s="12" t="str">
        <x:v>FILL-026</x:v>
      </x:c>
      <x:c r="B27" s="12" t="str">
        <x:v>Наполнители</x:v>
      </x:c>
      <x:c r="C27" s="12" t="str">
        <x:v>Силикагель / впитывающий</x:v>
      </x:c>
      <x:c r="D27" s="12" t="str">
        <x:v>Кошки</x:v>
      </x:c>
      <x:c r="E27" s="12" t="str">
        <x:v>OPTIONAL</x:v>
      </x:c>
      <x:c r="F27" s="12" t="str">
        <x:v>Средний</x:v>
      </x:c>
      <x:c r="G27" s="12" t="str">
        <x:v>Зооград/Оникиенко</x:v>
      </x:c>
      <x:c r="H27" s="12" t="str">
        <x:v>SAVANNA</x:v>
      </x:c>
      <x:c r="I27" s="12" t="str">
        <x:v>КА-00055047</x:v>
      </x:c>
      <x:c r="J27" s="12" t="str">
        <x:v>SAVANNA ICE 8 л яблоко, 3,2 кг</x:v>
      </x:c>
      <x:c r="K27" s="14" t="n">
        <x:v>698.24</x:v>
      </x:c>
      <x:c r="L27" s="12" t="str">
        <x:v>A</x:v>
      </x:c>
      <x:c r="M27" s="12" t="str">
        <x:v>Y</x:v>
      </x:c>
      <x:c r="N27" s="16" t="n">
        <x:v>2</x:v>
      </x:c>
      <x:c r="O27" s="12" t="str">
        <x:v>180 дней</x:v>
      </x:c>
      <x:c r="P27" s="18" t="n">
        <x:v>0.3</x:v>
      </x:c>
      <x:c r="Q27" s="18" t="n">
        <x:v>2</x:v>
      </x:c>
      <x:c r="R27" s="18"/>
      <x:c r="S27" s="18" t="n">
        <x:v>1</x:v>
      </x:c>
      <x:c r="T27" s="18" t="n">
        <x:v>1</x:v>
      </x:c>
      <x:c r="U27" s="12" t="str">
        <x:v>ОСТАВИТЬ</x:v>
      </x:c>
      <x:c r="V27" s="12" t="str">
        <x:v>CHECK 1С</x:v>
      </x:c>
      <x:c r="W27" s="12" t="str">
        <x:v>Текущий ассортимент из MASTER наполнителей 12.08.2026.</x:v>
      </x:c>
      <x:c r="X27" s="12" t="str">
        <x:f>IF(AND(P27="",N27=""),"НЕТ ИСТОРИИ",IF(IF(P27="",N27/6,P27)&gt;=3,"БЫСТРАЯ",IF(IF(P27="",N27/6,P27)&gt;=1.5,"ХОРОШАЯ",IF(IF(P27="",N27/6,P27)&gt;=0.7,"УМЕРЕННАЯ",IF(IF(P27="",N27/6,P27)&gt;0,"МЕДЛЕННАЯ","НЕТ ПРОДАЖ")))))</x:f>
        <x:v>МЕДЛЕННАЯ</x:v>
      </x:c>
      <x:c r="Y27" s="18" t="n">
        <x:f>IF(OR(T27="",AND(P27="",N27=""),IF(P27="",N27/6,P27)=0),"",T27/IF(P27="",N27/6,P27))</x:f>
        <x:v>3.3333333333333335</x:v>
      </x:c>
      <x:c r="Z27" s="12" t="str">
        <x:v>ФАКТ / текущий SKU</x:v>
      </x:c>
      <x:c r="AA27" s="12" t="str">
        <x:v>ДА</x:v>
      </x:c>
    </x:row>
    <x:row r="28">
      <x:c r="A28" s="12" t="str">
        <x:v>FILL-027</x:v>
      </x:c>
      <x:c r="B28" s="12" t="str">
        <x:v>Наполнители</x:v>
      </x:c>
      <x:c r="C28" s="12" t="str">
        <x:v>Минеральный комкующийся</x:v>
      </x:c>
      <x:c r="D28" s="12" t="str">
        <x:v>Кошки</x:v>
      </x:c>
      <x:c r="E28" s="12" t="str">
        <x:v>CORE</x:v>
      </x:c>
      <x:c r="F28" s="12" t="str">
        <x:v>Высокий</x:v>
      </x:c>
      <x:c r="G28" s="12" t="str">
        <x:v>Зооград/Оникиенко</x:v>
      </x:c>
      <x:c r="H28" s="12" t="str">
        <x:v>SAVANNA</x:v>
      </x:c>
      <x:c r="I28" s="12" t="str">
        <x:v>КА-00054982</x:v>
      </x:c>
      <x:c r="J28" s="12" t="str">
        <x:v>SAVANNA SANDS 10 л без запаха, 7,6 кг</x:v>
      </x:c>
      <x:c r="K28" s="14" t="n">
        <x:v>565.6</x:v>
      </x:c>
      <x:c r="L28" s="12" t="str">
        <x:v>A</x:v>
      </x:c>
      <x:c r="M28" s="12" t="str">
        <x:v>X</x:v>
      </x:c>
      <x:c r="N28" s="16" t="n">
        <x:v>14</x:v>
      </x:c>
      <x:c r="O28" s="12" t="str">
        <x:v>180 дней</x:v>
      </x:c>
      <x:c r="P28" s="18" t="n">
        <x:v>2.3</x:v>
      </x:c>
      <x:c r="Q28" s="18" t="n">
        <x:v>3</x:v>
      </x:c>
      <x:c r="R28" s="18" t="n">
        <x:v>5</x:v>
      </x:c>
      <x:c r="S28" s="18" t="n">
        <x:v>2</x:v>
      </x:c>
      <x:c r="T28" s="18" t="n">
        <x:v>3</x:v>
      </x:c>
      <x:c r="U28" s="12" t="str">
        <x:v>ОСТАВИТЬ</x:v>
      </x:c>
      <x:c r="V28" s="12" t="str">
        <x:v>CHECK 1С</x:v>
      </x:c>
      <x:c r="W28" s="12" t="str">
        <x:v>Текущий ассортимент из MASTER наполнителей 12.08.2026.</x:v>
      </x:c>
      <x:c r="X28" s="12" t="str">
        <x:f>IF(AND(P28="",N28=""),"НЕТ ИСТОРИИ",IF(IF(P28="",N28/6,P28)&gt;=3,"БЫСТРАЯ",IF(IF(P28="",N28/6,P28)&gt;=1.5,"ХОРОШАЯ",IF(IF(P28="",N28/6,P28)&gt;=0.7,"УМЕРЕННАЯ",IF(IF(P28="",N28/6,P28)&gt;0,"МЕДЛЕННАЯ","НЕТ ПРОДАЖ")))))</x:f>
        <x:v>ХОРОШАЯ</x:v>
      </x:c>
      <x:c r="Y28" s="18" t="n">
        <x:f>IF(OR(T28="",AND(P28="",N28=""),IF(P28="",N28/6,P28)=0),"",T28/IF(P28="",N28/6,P28))</x:f>
        <x:v>1.3043478260869565</x:v>
      </x:c>
      <x:c r="Z28" s="12" t="str">
        <x:v>ФАКТ / текущий SKU</x:v>
      </x:c>
      <x:c r="AA28" s="12" t="str">
        <x:v>ДА</x:v>
      </x:c>
    </x:row>
    <x:row r="29">
      <x:c r="A29" s="12" t="str">
        <x:v>FILL-028</x:v>
      </x:c>
      <x:c r="B29" s="12" t="str">
        <x:v>Наполнители</x:v>
      </x:c>
      <x:c r="C29" s="12" t="str">
        <x:v>Минеральный комкующийся</x:v>
      </x:c>
      <x:c r="D29" s="12" t="str">
        <x:v>Кошки</x:v>
      </x:c>
      <x:c r="E29" s="12" t="str">
        <x:v>CORE</x:v>
      </x:c>
      <x:c r="F29" s="12" t="str">
        <x:v>Высокий</x:v>
      </x:c>
      <x:c r="G29" s="12" t="str">
        <x:v>Зооград/Оникиенко</x:v>
      </x:c>
      <x:c r="H29" s="12" t="str">
        <x:v>SAVANNA</x:v>
      </x:c>
      <x:c r="I29" s="12" t="str">
        <x:v>КА-00054983</x:v>
      </x:c>
      <x:c r="J29" s="12" t="str">
        <x:v>SAVANNA SANDS 10 л лимон, 7,6 кг</x:v>
      </x:c>
      <x:c r="K29" s="14" t="n">
        <x:v>543.87</x:v>
      </x:c>
      <x:c r="L29" s="12" t="str">
        <x:v>A</x:v>
      </x:c>
      <x:c r="M29" s="12" t="str">
        <x:v>X</x:v>
      </x:c>
      <x:c r="N29" s="16" t="n">
        <x:v>12</x:v>
      </x:c>
      <x:c r="O29" s="12" t="str">
        <x:v>180 дней</x:v>
      </x:c>
      <x:c r="P29" s="18" t="n">
        <x:v>2</x:v>
      </x:c>
      <x:c r="Q29" s="18"/>
      <x:c r="R29" s="18" t="n">
        <x:v>4</x:v>
      </x:c>
      <x:c r="S29" s="18" t="n">
        <x:v>2</x:v>
      </x:c>
      <x:c r="T29" s="18" t="n">
        <x:v>3</x:v>
      </x:c>
      <x:c r="U29" s="12" t="str">
        <x:v>ОСТАВИТЬ</x:v>
      </x:c>
      <x:c r="V29" s="12" t="str">
        <x:v>CHECK 1С</x:v>
      </x:c>
      <x:c r="W29" s="12" t="str">
        <x:v>Текущий ассортимент из MASTER наполнителей 12.08.2026.</x:v>
      </x:c>
      <x:c r="X29" s="12" t="str">
        <x:f>IF(AND(P29="",N29=""),"НЕТ ИСТОРИИ",IF(IF(P29="",N29/6,P29)&gt;=3,"БЫСТРАЯ",IF(IF(P29="",N29/6,P29)&gt;=1.5,"ХОРОШАЯ",IF(IF(P29="",N29/6,P29)&gt;=0.7,"УМЕРЕННАЯ",IF(IF(P29="",N29/6,P29)&gt;0,"МЕДЛЕННАЯ","НЕТ ПРОДАЖ")))))</x:f>
        <x:v>ХОРОШАЯ</x:v>
      </x:c>
      <x:c r="Y29" s="18" t="n">
        <x:f>IF(OR(T29="",AND(P29="",N29=""),IF(P29="",N29/6,P29)=0),"",T29/IF(P29="",N29/6,P29))</x:f>
        <x:v>1.5</x:v>
      </x:c>
      <x:c r="Z29" s="12" t="str">
        <x:v>ФАКТ / текущий SKU</x:v>
      </x:c>
      <x:c r="AA29" s="12" t="str">
        <x:v>ДА</x:v>
      </x:c>
    </x:row>
    <x:row r="30">
      <x:c r="A30" s="12" t="str">
        <x:v>FILL-029</x:v>
      </x:c>
      <x:c r="B30" s="12" t="str">
        <x:v>Наполнители</x:v>
      </x:c>
      <x:c r="C30" s="12" t="str">
        <x:v>Минеральный комкующийся</x:v>
      </x:c>
      <x:c r="D30" s="12" t="str">
        <x:v>Кошки</x:v>
      </x:c>
      <x:c r="E30" s="12" t="str">
        <x:v>CORE</x:v>
      </x:c>
      <x:c r="F30" s="12" t="str">
        <x:v>Высокий</x:v>
      </x:c>
      <x:c r="G30" s="12" t="str">
        <x:v>Зооград/Оникиенко</x:v>
      </x:c>
      <x:c r="H30" s="12" t="str">
        <x:v>SAVANNA</x:v>
      </x:c>
      <x:c r="I30" s="12" t="str">
        <x:v>КА-00054984</x:v>
      </x:c>
      <x:c r="J30" s="12" t="str">
        <x:v>SAVANNA SANDS 10 л роза, 7,6 кг</x:v>
      </x:c>
      <x:c r="K30" s="14" t="n">
        <x:v>604.3</x:v>
      </x:c>
      <x:c r="L30" s="12" t="str">
        <x:v>A</x:v>
      </x:c>
      <x:c r="M30" s="12" t="str">
        <x:v>X</x:v>
      </x:c>
      <x:c r="N30" s="16" t="n">
        <x:v>16</x:v>
      </x:c>
      <x:c r="O30" s="12" t="str">
        <x:v>180 дней</x:v>
      </x:c>
      <x:c r="P30" s="18" t="n">
        <x:v>2.7</x:v>
      </x:c>
      <x:c r="Q30" s="18" t="n">
        <x:v>3</x:v>
      </x:c>
      <x:c r="R30" s="18" t="n">
        <x:v>5</x:v>
      </x:c>
      <x:c r="S30" s="18" t="n">
        <x:v>2</x:v>
      </x:c>
      <x:c r="T30" s="18" t="n">
        <x:v>3</x:v>
      </x:c>
      <x:c r="U30" s="12" t="str">
        <x:v>ОСТАВИТЬ</x:v>
      </x:c>
      <x:c r="V30" s="12" t="str">
        <x:v>CHECK 1С</x:v>
      </x:c>
      <x:c r="W30" s="12" t="str">
        <x:v>Текущий ассортимент из MASTER наполнителей 12.08.2026.</x:v>
      </x:c>
      <x:c r="X30" s="12" t="str">
        <x:f>IF(AND(P30="",N30=""),"НЕТ ИСТОРИИ",IF(IF(P30="",N30/6,P30)&gt;=3,"БЫСТРАЯ",IF(IF(P30="",N30/6,P30)&gt;=1.5,"ХОРОШАЯ",IF(IF(P30="",N30/6,P30)&gt;=0.7,"УМЕРЕННАЯ",IF(IF(P30="",N30/6,P30)&gt;0,"МЕДЛЕННАЯ","НЕТ ПРОДАЖ")))))</x:f>
        <x:v>ХОРОШАЯ</x:v>
      </x:c>
      <x:c r="Y30" s="18" t="n">
        <x:f>IF(OR(T30="",AND(P30="",N30=""),IF(P30="",N30/6,P30)=0),"",T30/IF(P30="",N30/6,P30))</x:f>
        <x:v>1.111111111111111</x:v>
      </x:c>
      <x:c r="Z30" s="12" t="str">
        <x:v>ФАКТ / текущий SKU</x:v>
      </x:c>
      <x:c r="AA30" s="12" t="str">
        <x:v>ДА</x:v>
      </x:c>
    </x:row>
    <x:row r="31">
      <x:c r="A31" s="12" t="str">
        <x:v>FILL-030</x:v>
      </x:c>
      <x:c r="B31" s="12" t="str">
        <x:v>Наполнители</x:v>
      </x:c>
      <x:c r="C31" s="12" t="str">
        <x:v>Минеральный комкующийся</x:v>
      </x:c>
      <x:c r="D31" s="12" t="str">
        <x:v>Кошки</x:v>
      </x:c>
      <x:c r="E31" s="12" t="str">
        <x:v>CORE</x:v>
      </x:c>
      <x:c r="F31" s="12" t="str">
        <x:v>Высокий</x:v>
      </x:c>
      <x:c r="G31" s="12" t="str">
        <x:v>Зооград/Оникиенко</x:v>
      </x:c>
      <x:c r="H31" s="12" t="str">
        <x:v>SAVANNA</x:v>
      </x:c>
      <x:c r="I31" s="12" t="str">
        <x:v>КА-00054985</x:v>
      </x:c>
      <x:c r="J31" s="12" t="str">
        <x:v>SAVANNA SANDS 10 л яблоко, 7,6 кг</x:v>
      </x:c>
      <x:c r="K31" s="14" t="n">
        <x:v>604.3</x:v>
      </x:c>
      <x:c r="L31" s="12" t="str">
        <x:v>A</x:v>
      </x:c>
      <x:c r="M31" s="12" t="str">
        <x:v>X</x:v>
      </x:c>
      <x:c r="N31" s="16" t="n">
        <x:v>18</x:v>
      </x:c>
      <x:c r="O31" s="12" t="str">
        <x:v>180 дней</x:v>
      </x:c>
      <x:c r="P31" s="18" t="n">
        <x:v>3</x:v>
      </x:c>
      <x:c r="Q31" s="18" t="n">
        <x:v>5</x:v>
      </x:c>
      <x:c r="R31" s="18" t="n">
        <x:v>7</x:v>
      </x:c>
      <x:c r="S31" s="18" t="n">
        <x:v>2</x:v>
      </x:c>
      <x:c r="T31" s="18" t="n">
        <x:v>4</x:v>
      </x:c>
      <x:c r="U31" s="12" t="str">
        <x:v>ОСТАВИТЬ</x:v>
      </x:c>
      <x:c r="V31" s="12" t="str">
        <x:v>CHECK 1С</x:v>
      </x:c>
      <x:c r="W31" s="12" t="str">
        <x:v>Текущий ассортимент из MASTER наполнителей 12.08.2026.</x:v>
      </x:c>
      <x:c r="X31" s="12" t="str">
        <x:f>IF(AND(P31="",N31=""),"НЕТ ИСТОРИИ",IF(IF(P31="",N31/6,P31)&gt;=3,"БЫСТРАЯ",IF(IF(P31="",N31/6,P31)&gt;=1.5,"ХОРОШАЯ",IF(IF(P31="",N31/6,P31)&gt;=0.7,"УМЕРЕННАЯ",IF(IF(P31="",N31/6,P31)&gt;0,"МЕДЛЕННАЯ","НЕТ ПРОДАЖ")))))</x:f>
        <x:v>БЫСТРАЯ</x:v>
      </x:c>
      <x:c r="Y31" s="18" t="n">
        <x:f>IF(OR(T31="",AND(P31="",N31=""),IF(P31="",N31/6,P31)=0),"",T31/IF(P31="",N31/6,P31))</x:f>
        <x:v>1.3333333333333333</x:v>
      </x:c>
      <x:c r="Z31" s="12" t="str">
        <x:v>ФАКТ / текущий SKU</x:v>
      </x:c>
      <x:c r="AA31" s="12" t="str">
        <x:v>ДА</x:v>
      </x:c>
    </x:row>
    <x:row r="32">
      <x:c r="A32" s="12" t="str">
        <x:v>FILL-031</x:v>
      </x:c>
      <x:c r="B32" s="12" t="str">
        <x:v>Наполнители</x:v>
      </x:c>
      <x:c r="C32" s="12" t="str">
        <x:v>Минеральный комкующийся</x:v>
      </x:c>
      <x:c r="D32" s="12" t="str">
        <x:v>Кошки</x:v>
      </x:c>
      <x:c r="E32" s="12" t="str">
        <x:v>CORE</x:v>
      </x:c>
      <x:c r="F32" s="12" t="str">
        <x:v>Высокий</x:v>
      </x:c>
      <x:c r="G32" s="12" t="str">
        <x:v>Зооград/Оникиенко</x:v>
      </x:c>
      <x:c r="H32" s="12" t="str">
        <x:v>SAVANNA</x:v>
      </x:c>
      <x:c r="I32" s="12" t="str">
        <x:v>КА-00054978</x:v>
      </x:c>
      <x:c r="J32" s="12" t="str">
        <x:v>SAVANNA SANDS 5 л без запаха, 3,8 кг</x:v>
      </x:c>
      <x:c r="K32" s="14" t="n">
        <x:v>300.1</x:v>
      </x:c>
      <x:c r="L32" s="12" t="str">
        <x:v>A</x:v>
      </x:c>
      <x:c r="M32" s="12" t="str">
        <x:v>X</x:v>
      </x:c>
      <x:c r="N32" s="16" t="n">
        <x:v>12</x:v>
      </x:c>
      <x:c r="O32" s="12" t="str">
        <x:v>180 дней</x:v>
      </x:c>
      <x:c r="P32" s="18" t="n">
        <x:v>2</x:v>
      </x:c>
      <x:c r="Q32" s="18" t="n">
        <x:v>5</x:v>
      </x:c>
      <x:c r="R32" s="18" t="n">
        <x:v>4</x:v>
      </x:c>
      <x:c r="S32" s="18" t="n">
        <x:v>2</x:v>
      </x:c>
      <x:c r="T32" s="18" t="n">
        <x:v>3</x:v>
      </x:c>
      <x:c r="U32" s="12" t="str">
        <x:v>ОСТАВИТЬ</x:v>
      </x:c>
      <x:c r="V32" s="12" t="str">
        <x:v>CHECK 1С</x:v>
      </x:c>
      <x:c r="W32" s="12" t="str">
        <x:v>Текущий ассортимент из MASTER наполнителей 12.08.2026.</x:v>
      </x:c>
      <x:c r="X32" s="12" t="str">
        <x:f>IF(AND(P32="",N32=""),"НЕТ ИСТОРИИ",IF(IF(P32="",N32/6,P32)&gt;=3,"БЫСТРАЯ",IF(IF(P32="",N32/6,P32)&gt;=1.5,"ХОРОШАЯ",IF(IF(P32="",N32/6,P32)&gt;=0.7,"УМЕРЕННАЯ",IF(IF(P32="",N32/6,P32)&gt;0,"МЕДЛЕННАЯ","НЕТ ПРОДАЖ")))))</x:f>
        <x:v>ХОРОШАЯ</x:v>
      </x:c>
      <x:c r="Y32" s="18" t="n">
        <x:f>IF(OR(T32="",AND(P32="",N32=""),IF(P32="",N32/6,P32)=0),"",T32/IF(P32="",N32/6,P32))</x:f>
        <x:v>1.5</x:v>
      </x:c>
      <x:c r="Z32" s="12" t="str">
        <x:v>ФАКТ / текущий SKU</x:v>
      </x:c>
      <x:c r="AA32" s="12" t="str">
        <x:v>ДА</x:v>
      </x:c>
    </x:row>
    <x:row r="33">
      <x:c r="A33" s="12" t="str">
        <x:v>FILL-032</x:v>
      </x:c>
      <x:c r="B33" s="12" t="str">
        <x:v>Наполнители</x:v>
      </x:c>
      <x:c r="C33" s="12" t="str">
        <x:v>Минеральный комкующийся</x:v>
      </x:c>
      <x:c r="D33" s="12" t="str">
        <x:v>Кошки</x:v>
      </x:c>
      <x:c r="E33" s="12" t="str">
        <x:v>CORE</x:v>
      </x:c>
      <x:c r="F33" s="12" t="str">
        <x:v>Высокий</x:v>
      </x:c>
      <x:c r="G33" s="12" t="str">
        <x:v>Зооград/Оникиенко</x:v>
      </x:c>
      <x:c r="H33" s="12" t="str">
        <x:v>SAVANNA</x:v>
      </x:c>
      <x:c r="I33" s="12" t="str">
        <x:v>КА-00054980</x:v>
      </x:c>
      <x:c r="J33" s="12" t="str">
        <x:v>SAVANNA SANDS 5 л лимон, 3,8 кг</x:v>
      </x:c>
      <x:c r="K33" s="14" t="n">
        <x:v>313.9</x:v>
      </x:c>
      <x:c r="L33" s="12" t="str">
        <x:v>A</x:v>
      </x:c>
      <x:c r="M33" s="12" t="str">
        <x:v>X</x:v>
      </x:c>
      <x:c r="N33" s="16" t="n">
        <x:v>24</x:v>
      </x:c>
      <x:c r="O33" s="12" t="str">
        <x:v>180 дней</x:v>
      </x:c>
      <x:c r="P33" s="18" t="n">
        <x:v>4</x:v>
      </x:c>
      <x:c r="Q33" s="18" t="n">
        <x:v>5</x:v>
      </x:c>
      <x:c r="R33" s="18" t="n">
        <x:v>8</x:v>
      </x:c>
      <x:c r="S33" s="18" t="n">
        <x:v>2</x:v>
      </x:c>
      <x:c r="T33" s="18" t="n">
        <x:v>5</x:v>
      </x:c>
      <x:c r="U33" s="12" t="str">
        <x:v>ОСТАВИТЬ</x:v>
      </x:c>
      <x:c r="V33" s="12" t="str">
        <x:v>CHECK 1С</x:v>
      </x:c>
      <x:c r="W33" s="12" t="str">
        <x:v>Текущий ассортимент из MASTER наполнителей 12.08.2026.</x:v>
      </x:c>
      <x:c r="X33" s="12" t="str">
        <x:f>IF(AND(P33="",N33=""),"НЕТ ИСТОРИИ",IF(IF(P33="",N33/6,P33)&gt;=3,"БЫСТРАЯ",IF(IF(P33="",N33/6,P33)&gt;=1.5,"ХОРОШАЯ",IF(IF(P33="",N33/6,P33)&gt;=0.7,"УМЕРЕННАЯ",IF(IF(P33="",N33/6,P33)&gt;0,"МЕДЛЕННАЯ","НЕТ ПРОДАЖ")))))</x:f>
        <x:v>БЫСТРАЯ</x:v>
      </x:c>
      <x:c r="Y33" s="18" t="n">
        <x:f>IF(OR(T33="",AND(P33="",N33=""),IF(P33="",N33/6,P33)=0),"",T33/IF(P33="",N33/6,P33))</x:f>
        <x:v>1.25</x:v>
      </x:c>
      <x:c r="Z33" s="12" t="str">
        <x:v>ФАКТ / текущий SKU</x:v>
      </x:c>
      <x:c r="AA33" s="12" t="str">
        <x:v>ДА</x:v>
      </x:c>
    </x:row>
    <x:row r="34">
      <x:c r="A34" s="12" t="str">
        <x:v>FILL-033</x:v>
      </x:c>
      <x:c r="B34" s="12" t="str">
        <x:v>Наполнители</x:v>
      </x:c>
      <x:c r="C34" s="12" t="str">
        <x:v>Минеральный комкующийся</x:v>
      </x:c>
      <x:c r="D34" s="12" t="str">
        <x:v>Кошки</x:v>
      </x:c>
      <x:c r="E34" s="12" t="str">
        <x:v>CORE</x:v>
      </x:c>
      <x:c r="F34" s="12" t="str">
        <x:v>Высокий</x:v>
      </x:c>
      <x:c r="G34" s="12" t="str">
        <x:v>Зооград/Оникиенко</x:v>
      </x:c>
      <x:c r="H34" s="12" t="str">
        <x:v>SAVANNA</x:v>
      </x:c>
      <x:c r="I34" s="12" t="str">
        <x:v>КА-00054981</x:v>
      </x:c>
      <x:c r="J34" s="12" t="str">
        <x:v>SAVANNA SANDS 5 л роза, 3,8 кг</x:v>
      </x:c>
      <x:c r="K34" s="14" t="n">
        <x:v>313.9</x:v>
      </x:c>
      <x:c r="L34" s="12" t="str">
        <x:v>A</x:v>
      </x:c>
      <x:c r="M34" s="12" t="str">
        <x:v>X</x:v>
      </x:c>
      <x:c r="N34" s="16" t="n">
        <x:v>14</x:v>
      </x:c>
      <x:c r="O34" s="12" t="str">
        <x:v>180 дней</x:v>
      </x:c>
      <x:c r="P34" s="18" t="n">
        <x:v>2.3</x:v>
      </x:c>
      <x:c r="Q34" s="18" t="n">
        <x:v>6</x:v>
      </x:c>
      <x:c r="R34" s="18" t="n">
        <x:v>5</x:v>
      </x:c>
      <x:c r="S34" s="18" t="n">
        <x:v>2</x:v>
      </x:c>
      <x:c r="T34" s="18" t="n">
        <x:v>3</x:v>
      </x:c>
      <x:c r="U34" s="12" t="str">
        <x:v>ОСТАВИТЬ</x:v>
      </x:c>
      <x:c r="V34" s="12" t="str">
        <x:v>CHECK 1С</x:v>
      </x:c>
      <x:c r="W34" s="12" t="str">
        <x:v>Текущий ассортимент из MASTER наполнителей 12.08.2026.</x:v>
      </x:c>
      <x:c r="X34" s="12" t="str">
        <x:f>IF(AND(P34="",N34=""),"НЕТ ИСТОРИИ",IF(IF(P34="",N34/6,P34)&gt;=3,"БЫСТРАЯ",IF(IF(P34="",N34/6,P34)&gt;=1.5,"ХОРОШАЯ",IF(IF(P34="",N34/6,P34)&gt;=0.7,"УМЕРЕННАЯ",IF(IF(P34="",N34/6,P34)&gt;0,"МЕДЛЕННАЯ","НЕТ ПРОДАЖ")))))</x:f>
        <x:v>ХОРОШАЯ</x:v>
      </x:c>
      <x:c r="Y34" s="18" t="n">
        <x:f>IF(OR(T34="",AND(P34="",N34=""),IF(P34="",N34/6,P34)=0),"",T34/IF(P34="",N34/6,P34))</x:f>
        <x:v>1.3043478260869565</x:v>
      </x:c>
      <x:c r="Z34" s="12" t="str">
        <x:v>ФАКТ / текущий SKU</x:v>
      </x:c>
      <x:c r="AA34" s="12" t="str">
        <x:v>ДА</x:v>
      </x:c>
    </x:row>
    <x:row r="35">
      <x:c r="A35" s="12" t="str">
        <x:v>FILL-034</x:v>
      </x:c>
      <x:c r="B35" s="12" t="str">
        <x:v>Наполнители</x:v>
      </x:c>
      <x:c r="C35" s="12" t="str">
        <x:v>Минеральный комкующийся</x:v>
      </x:c>
      <x:c r="D35" s="12" t="str">
        <x:v>Кошки</x:v>
      </x:c>
      <x:c r="E35" s="12" t="str">
        <x:v>CORE</x:v>
      </x:c>
      <x:c r="F35" s="12" t="str">
        <x:v>Высокий</x:v>
      </x:c>
      <x:c r="G35" s="12" t="str">
        <x:v>Зооград/Оникиенко</x:v>
      </x:c>
      <x:c r="H35" s="12" t="str">
        <x:v>SAVANNA</x:v>
      </x:c>
      <x:c r="I35" s="12" t="str">
        <x:v>КА-00054979</x:v>
      </x:c>
      <x:c r="J35" s="12" t="str">
        <x:v>SAVANNA SANDS 5 л яблоко, 3,8 кг</x:v>
      </x:c>
      <x:c r="K35" s="14" t="n">
        <x:v>313.9</x:v>
      </x:c>
      <x:c r="L35" s="12" t="str">
        <x:v>A</x:v>
      </x:c>
      <x:c r="M35" s="12" t="str">
        <x:v>X</x:v>
      </x:c>
      <x:c r="N35" s="16" t="n">
        <x:v>18</x:v>
      </x:c>
      <x:c r="O35" s="12" t="str">
        <x:v>180 дней</x:v>
      </x:c>
      <x:c r="P35" s="18" t="n">
        <x:v>3</x:v>
      </x:c>
      <x:c r="Q35" s="18" t="n">
        <x:v>2</x:v>
      </x:c>
      <x:c r="R35" s="18" t="n">
        <x:v>6</x:v>
      </x:c>
      <x:c r="S35" s="18" t="n">
        <x:v>2</x:v>
      </x:c>
      <x:c r="T35" s="18" t="n">
        <x:v>4</x:v>
      </x:c>
      <x:c r="U35" s="12" t="str">
        <x:v>ОСТАВИТЬ</x:v>
      </x:c>
      <x:c r="V35" s="12" t="str">
        <x:v>CHECK 1С</x:v>
      </x:c>
      <x:c r="W35" s="12" t="str">
        <x:v>Текущий ассортимент из MASTER наполнителей 12.08.2026.</x:v>
      </x:c>
      <x:c r="X35" s="12" t="str">
        <x:f>IF(AND(P35="",N35=""),"НЕТ ИСТОРИИ",IF(IF(P35="",N35/6,P35)&gt;=3,"БЫСТРАЯ",IF(IF(P35="",N35/6,P35)&gt;=1.5,"ХОРОШАЯ",IF(IF(P35="",N35/6,P35)&gt;=0.7,"УМЕРЕННАЯ",IF(IF(P35="",N35/6,P35)&gt;0,"МЕДЛЕННАЯ","НЕТ ПРОДАЖ")))))</x:f>
        <x:v>БЫСТРАЯ</x:v>
      </x:c>
      <x:c r="Y35" s="18" t="n">
        <x:f>IF(OR(T35="",AND(P35="",N35=""),IF(P35="",N35/6,P35)=0),"",T35/IF(P35="",N35/6,P35))</x:f>
        <x:v>1.3333333333333333</x:v>
      </x:c>
      <x:c r="Z35" s="12" t="str">
        <x:v>ФАКТ / текущий SKU</x:v>
      </x:c>
      <x:c r="AA35" s="12" t="str">
        <x:v>ДА</x:v>
      </x:c>
    </x:row>
    <x:row r="36">
      <x:c r="A36" s="12" t="str">
        <x:v>FILL-035</x:v>
      </x:c>
      <x:c r="B36" s="12" t="str">
        <x:v>Наполнители</x:v>
      </x:c>
      <x:c r="C36" s="12" t="str">
        <x:v>Древесный</x:v>
      </x:c>
      <x:c r="D36" s="12" t="str">
        <x:v>Кошки</x:v>
      </x:c>
      <x:c r="E36" s="12" t="str">
        <x:v>CORE</x:v>
      </x:c>
      <x:c r="F36" s="12" t="str">
        <x:v>Высокий</x:v>
      </x:c>
      <x:c r="G36" s="12" t="str">
        <x:v>Зооград/Оникиенко</x:v>
      </x:c>
      <x:c r="H36" s="12" t="str">
        <x:v>SAVANNA</x:v>
      </x:c>
      <x:c r="I36" s="12" t="str">
        <x:v>КА-00151355</x:v>
      </x:c>
      <x:c r="J36" s="12" t="str">
        <x:v>SAVANNA WOOD 10 л без запаха</x:v>
      </x:c>
      <x:c r="K36" s="14" t="n">
        <x:v>291.9</x:v>
      </x:c>
      <x:c r="L36" s="12" t="str">
        <x:v>A</x:v>
      </x:c>
      <x:c r="M36" s="12" t="str">
        <x:v>X</x:v>
      </x:c>
      <x:c r="N36" s="16" t="n">
        <x:v>20</x:v>
      </x:c>
      <x:c r="O36" s="12" t="str">
        <x:v>180 дней</x:v>
      </x:c>
      <x:c r="P36" s="18" t="n">
        <x:v>3.3</x:v>
      </x:c>
      <x:c r="Q36" s="18" t="n">
        <x:v>7</x:v>
      </x:c>
      <x:c r="R36" s="18" t="n">
        <x:v>7</x:v>
      </x:c>
      <x:c r="S36" s="18" t="n">
        <x:v>2</x:v>
      </x:c>
      <x:c r="T36" s="18" t="n">
        <x:v>4</x:v>
      </x:c>
      <x:c r="U36" s="12" t="str">
        <x:v>ОСТАВИТЬ</x:v>
      </x:c>
      <x:c r="V36" s="12" t="str">
        <x:v>CHECK 1С</x:v>
      </x:c>
      <x:c r="W36" s="12" t="str">
        <x:v>Текущий ассортимент из MASTER наполнителей 12.08.2026.</x:v>
      </x:c>
      <x:c r="X36" s="12" t="str">
        <x:f>IF(AND(P36="",N36=""),"НЕТ ИСТОРИИ",IF(IF(P36="",N36/6,P36)&gt;=3,"БЫСТРАЯ",IF(IF(P36="",N36/6,P36)&gt;=1.5,"ХОРОШАЯ",IF(IF(P36="",N36/6,P36)&gt;=0.7,"УМЕРЕННАЯ",IF(IF(P36="",N36/6,P36)&gt;0,"МЕДЛЕННАЯ","НЕТ ПРОДАЖ")))))</x:f>
        <x:v>БЫСТРАЯ</x:v>
      </x:c>
      <x:c r="Y36" s="18" t="n">
        <x:f>IF(OR(T36="",AND(P36="",N36=""),IF(P36="",N36/6,P36)=0),"",T36/IF(P36="",N36/6,P36))</x:f>
        <x:v>1.2121212121212122</x:v>
      </x:c>
      <x:c r="Z36" s="12" t="str">
        <x:v>ФАКТ / текущий SKU</x:v>
      </x:c>
      <x:c r="AA36" s="12" t="str">
        <x:v>ДА</x:v>
      </x:c>
    </x:row>
    <x:row r="37">
      <x:c r="A37" s="12" t="str">
        <x:v>FILL-036</x:v>
      </x:c>
      <x:c r="B37" s="12" t="str">
        <x:v>Наполнители</x:v>
      </x:c>
      <x:c r="C37" s="12" t="str">
        <x:v>Минеральный комкующийся</x:v>
      </x:c>
      <x:c r="D37" s="12" t="str">
        <x:v>Кошки</x:v>
      </x:c>
      <x:c r="E37" s="12" t="str">
        <x:v>OPTIONAL</x:v>
      </x:c>
      <x:c r="F37" s="12" t="str">
        <x:v>Средний</x:v>
      </x:c>
      <x:c r="G37" s="12" t="str">
        <x:v>Зооград/Оникиенко</x:v>
      </x:c>
      <x:c r="H37" s="12" t="str">
        <x:v>Сибирская кошка</x:v>
      </x:c>
      <x:c r="I37" s="12" t="str">
        <x:v>00023946</x:v>
      </x:c>
      <x:c r="J37" s="12" t="str">
        <x:v>Супер комкующийся 7 л</x:v>
      </x:c>
      <x:c r="K37" s="14" t="n">
        <x:v>423.2</x:v>
      </x:c>
      <x:c r="L37" s="12" t="str">
        <x:v>A</x:v>
      </x:c>
      <x:c r="M37" s="12" t="str">
        <x:v>Y</x:v>
      </x:c>
      <x:c r="N37" s="16" t="n">
        <x:v>5</x:v>
      </x:c>
      <x:c r="O37" s="12" t="str">
        <x:v>180 дней</x:v>
      </x:c>
      <x:c r="P37" s="18" t="n">
        <x:v>0.8</x:v>
      </x:c>
      <x:c r="Q37" s="18" t="n">
        <x:v>2</x:v>
      </x:c>
      <x:c r="R37" s="18" t="n">
        <x:v>2</x:v>
      </x:c>
      <x:c r="S37" s="18" t="n">
        <x:v>1</x:v>
      </x:c>
      <x:c r="T37" s="18" t="n">
        <x:v>2</x:v>
      </x:c>
      <x:c r="U37" s="12" t="str">
        <x:v>ОСТАВИТЬ</x:v>
      </x:c>
      <x:c r="V37" s="12" t="str">
        <x:v>CONFIRMED</x:v>
      </x:c>
      <x:c r="W37" s="12" t="str">
        <x:v>Текущий ассортимент из MASTER наполнителей 12.08.2026.</x:v>
      </x:c>
      <x:c r="X37" s="12" t="str">
        <x:f>IF(AND(P37="",N37=""),"НЕТ ИСТОРИИ",IF(IF(P37="",N37/6,P37)&gt;=3,"БЫСТРАЯ",IF(IF(P37="",N37/6,P37)&gt;=1.5,"ХОРОШАЯ",IF(IF(P37="",N37/6,P37)&gt;=0.7,"УМЕРЕННАЯ",IF(IF(P37="",N37/6,P37)&gt;0,"МЕДЛЕННАЯ","НЕТ ПРОДАЖ")))))</x:f>
        <x:v>УМЕРЕННАЯ</x:v>
      </x:c>
      <x:c r="Y37" s="18" t="n">
        <x:f>IF(OR(T37="",AND(P37="",N37=""),IF(P37="",N37/6,P37)=0),"",T37/IF(P37="",N37/6,P37))</x:f>
        <x:v>2.5</x:v>
      </x:c>
      <x:c r="Z37" s="12" t="str">
        <x:v>ФАКТ / текущий SKU</x:v>
      </x:c>
      <x:c r="AA37" s="12" t="str">
        <x:v>ДА</x:v>
      </x:c>
    </x:row>
    <x:row r="38">
      <x:c r="A38" s="12" t="str">
        <x:v>PP-FILL-001</x:v>
      </x:c>
      <x:c r="B38" s="12" t="str">
        <x:v>Наполнители</x:v>
      </x:c>
      <x:c r="C38" s="12" t="str">
        <x:v>Растительный / горох+чай</x:v>
      </x:c>
      <x:c r="D38" s="12" t="str">
        <x:v>Кошки</x:v>
      </x:c>
      <x:c r="E38" s="12" t="str">
        <x:v>CORE</x:v>
      </x:c>
      <x:c r="F38" s="12" t="str">
        <x:v>Высокий</x:v>
      </x:c>
      <x:c r="G38" s="12" t="str">
        <x:v>Premium Pet Япония</x:v>
      </x:c>
      <x:c r="H38" s="12" t="str">
        <x:v>Japan Premium Pet</x:v>
      </x:c>
      <x:c r="I38" s="12" t="str">
        <x:v>898607</x:v>
      </x:c>
      <x:c r="J38" s="12" t="str">
        <x:v>Горох + японский чай 6 л</x:v>
      </x:c>
      <x:c r="K38" s="14"/>
      <x:c r="L38" s="12" t="str">
        <x:v>A</x:v>
      </x:c>
      <x:c r="M38" s="12" t="str">
        <x:v>X</x:v>
      </x:c>
      <x:c r="N38" s="16" t="n">
        <x:v>36</x:v>
      </x:c>
      <x:c r="O38" s="12" t="str">
        <x:v>365 дней</x:v>
      </x:c>
      <x:c r="P38" s="18" t="n">
        <x:v>3</x:v>
      </x:c>
      <x:c r="Q38" s="18" t="n">
        <x:v>2</x:v>
      </x:c>
      <x:c r="R38" s="18" t="n">
        <x:v>10</x:v>
      </x:c>
      <x:c r="S38" s="18" t="n">
        <x:v>2</x:v>
      </x:c>
      <x:c r="T38" s="18" t="n">
        <x:v>4</x:v>
      </x:c>
      <x:c r="U38" s="12" t="str">
        <x:v>ОСТАВИТЬ</x:v>
      </x:c>
      <x:c r="V38" s="12" t="str">
        <x:v>CONFIRMED Min/Max</x:v>
      </x:c>
      <x:c r="W38" s="12" t="str">
        <x:v>Фактически продаётся по свежему Premium Pet Min/Max 19.08.2026; MIN/MAX матрицы ограничены из-за премиального чека.</x:v>
      </x:c>
      <x:c r="X38" s="12" t="str">
        <x:f>IF(AND(P38="",N38=""),"НЕТ ИСТОРИИ",IF(IF(P38="",N38/6,P38)&gt;=3,"БЫСТРАЯ",IF(IF(P38="",N38/6,P38)&gt;=1.5,"ХОРОШАЯ",IF(IF(P38="",N38/6,P38)&gt;=0.7,"УМЕРЕННАЯ",IF(IF(P38="",N38/6,P38)&gt;0,"МЕДЛЕННАЯ","НЕТ ПРОДАЖ")))))</x:f>
        <x:v>БЫСТРАЯ</x:v>
      </x:c>
      <x:c r="Y38" s="18" t="n">
        <x:f>IF(OR(T38="",AND(P38="",N38=""),IF(P38="",N38/6,P38)=0),"",T38/IF(P38="",N38/6,P38))</x:f>
        <x:v>1.3333333333333333</x:v>
      </x:c>
      <x:c r="Z38" s="12" t="str">
        <x:v>ФАКТ / текущий SKU</x:v>
      </x:c>
      <x:c r="AA38" s="12" t="str">
        <x:v>ДА</x:v>
      </x:c>
    </x:row>
    <x:row r="39">
      <x:c r="A39" s="12" t="str">
        <x:v>PP-FILL-002</x:v>
      </x:c>
      <x:c r="B39" s="12" t="str">
        <x:v>Наполнители</x:v>
      </x:c>
      <x:c r="C39" s="12" t="str">
        <x:v>Растительный / кокос+чай</x:v>
      </x:c>
      <x:c r="D39" s="12" t="str">
        <x:v>Кошки</x:v>
      </x:c>
      <x:c r="E39" s="12" t="str">
        <x:v>CORE</x:v>
      </x:c>
      <x:c r="F39" s="12" t="str">
        <x:v>Высокий</x:v>
      </x:c>
      <x:c r="G39" s="12" t="str">
        <x:v>Premium Pet Япония</x:v>
      </x:c>
      <x:c r="H39" s="12" t="str">
        <x:v>Japan Premium Pet</x:v>
      </x:c>
      <x:c r="I39" s="12" t="str">
        <x:v>898508</x:v>
      </x:c>
      <x:c r="J39" s="12" t="str">
        <x:v>Кокосовое молоко + японский чай 6 л</x:v>
      </x:c>
      <x:c r="K39" s="14"/>
      <x:c r="L39" s="12" t="str">
        <x:v>A</x:v>
      </x:c>
      <x:c r="M39" s="12" t="str">
        <x:v>X</x:v>
      </x:c>
      <x:c r="N39" s="16" t="n">
        <x:v>23</x:v>
      </x:c>
      <x:c r="O39" s="12" t="str">
        <x:v>365 дней</x:v>
      </x:c>
      <x:c r="P39" s="18" t="n">
        <x:v>1.9</x:v>
      </x:c>
      <x:c r="Q39" s="18"/>
      <x:c r="R39" s="18" t="n">
        <x:v>6</x:v>
      </x:c>
      <x:c r="S39" s="18" t="n">
        <x:v>2</x:v>
      </x:c>
      <x:c r="T39" s="18" t="n">
        <x:v>3</x:v>
      </x:c>
      <x:c r="U39" s="12" t="str">
        <x:v>ОСТАВИТЬ</x:v>
      </x:c>
      <x:c r="V39" s="12" t="str">
        <x:v>CONFIRMED Min/Max</x:v>
      </x:c>
      <x:c r="W39" s="12" t="str">
        <x:v>Фактически продаётся по свежему Premium Pet Min/Max 19.08.2026; MIN/MAX матрицы ограничены из-за премиального чека.</x:v>
      </x:c>
      <x:c r="X39" s="12" t="str">
        <x:f>IF(AND(P39="",N39=""),"НЕТ ИСТОРИИ",IF(IF(P39="",N39/6,P39)&gt;=3,"БЫСТРАЯ",IF(IF(P39="",N39/6,P39)&gt;=1.5,"ХОРОШАЯ",IF(IF(P39="",N39/6,P39)&gt;=0.7,"УМЕРЕННАЯ",IF(IF(P39="",N39/6,P39)&gt;0,"МЕДЛЕННАЯ","НЕТ ПРОДАЖ")))))</x:f>
        <x:v>ХОРОШАЯ</x:v>
      </x:c>
      <x:c r="Y39" s="18" t="n">
        <x:f>IF(OR(T39="",AND(P39="",N39=""),IF(P39="",N39/6,P39)=0),"",T39/IF(P39="",N39/6,P39))</x:f>
        <x:v>1.5789473684210527</x:v>
      </x:c>
      <x:c r="Z39" s="12" t="str">
        <x:v>ФАКТ / текущий SKU</x:v>
      </x:c>
      <x:c r="AA39" s="12" t="str">
        <x:v>ДА</x:v>
      </x:c>
    </x:row>
    <x:row r="40">
      <x:c r="A40" s="12" t="str">
        <x:v>PP-FILL-003</x:v>
      </x:c>
      <x:c r="B40" s="12" t="str">
        <x:v>Наполнители</x:v>
      </x:c>
      <x:c r="C40" s="12" t="str">
        <x:v>Целлюлозно-полимерный индикатор</x:v>
      </x:c>
      <x:c r="D40" s="12" t="str">
        <x:v>Кошки</x:v>
      </x:c>
      <x:c r="E40" s="12" t="str">
        <x:v>CORE</x:v>
      </x:c>
      <x:c r="F40" s="12" t="str">
        <x:v>Высокий</x:v>
      </x:c>
      <x:c r="G40" s="12" t="str">
        <x:v>Premium Pet Япония</x:v>
      </x:c>
      <x:c r="H40" s="12" t="str">
        <x:v>Japan Premium Pet</x:v>
      </x:c>
      <x:c r="I40" s="12" t="str">
        <x:v>730204</x:v>
      </x:c>
      <x:c r="J40" s="12" t="str">
        <x:v>Целлюлозно-полимерный с синим индикатором 7 л</x:v>
      </x:c>
      <x:c r="K40" s="14"/>
      <x:c r="L40" s="12" t="str">
        <x:v>A</x:v>
      </x:c>
      <x:c r="M40" s="12" t="str">
        <x:v>X</x:v>
      </x:c>
      <x:c r="N40" s="16" t="n">
        <x:v>16</x:v>
      </x:c>
      <x:c r="O40" s="12" t="str">
        <x:v>365 дней</x:v>
      </x:c>
      <x:c r="P40" s="18" t="n">
        <x:v>1.3</x:v>
      </x:c>
      <x:c r="Q40" s="18"/>
      <x:c r="R40" s="18" t="n">
        <x:v>5</x:v>
      </x:c>
      <x:c r="S40" s="18" t="n">
        <x:v>1</x:v>
      </x:c>
      <x:c r="T40" s="18" t="n">
        <x:v>2</x:v>
      </x:c>
      <x:c r="U40" s="12" t="str">
        <x:v>ОСТАВИТЬ</x:v>
      </x:c>
      <x:c r="V40" s="12" t="str">
        <x:v>CONFIRMED Min/Max</x:v>
      </x:c>
      <x:c r="W40" s="12" t="str">
        <x:v>Фактически продаётся по свежему Premium Pet Min/Max 19.08.2026; MIN/MAX матрицы ограничены из-за премиального чека. Статус CORE здесь функциональный: позиция нужна для ширины категории, но MAX ограничен из-за умеренной/медленной оборачиваемости.</x:v>
      </x:c>
      <x:c r="X40" s="12" t="str">
        <x:f>IF(AND(P40="",N40=""),"НЕТ ИСТОРИИ",IF(IF(P40="",N40/6,P40)&gt;=3,"БЫСТРАЯ",IF(IF(P40="",N40/6,P40)&gt;=1.5,"ХОРОШАЯ",IF(IF(P40="",N40/6,P40)&gt;=0.7,"УМЕРЕННАЯ",IF(IF(P40="",N40/6,P40)&gt;0,"МЕДЛЕННАЯ","НЕТ ПРОДАЖ")))))</x:f>
        <x:v>УМЕРЕННАЯ</x:v>
      </x:c>
      <x:c r="Y40" s="18" t="n">
        <x:f>IF(OR(T40="",AND(P40="",N40=""),IF(P40="",N40/6,P40)=0),"",T40/IF(P40="",N40/6,P40))</x:f>
        <x:v>1.5384615384615383</x:v>
      </x:c>
      <x:c r="Z40" s="12" t="str">
        <x:v>ФАКТ / текущий SKU</x:v>
      </x:c>
      <x:c r="AA40" s="12" t="str">
        <x:v>ДА</x:v>
      </x:c>
    </x:row>
    <x:row r="41">
      <x:c r="A41" s="12" t="str">
        <x:v>PP-FILL-004</x:v>
      </x:c>
      <x:c r="B41" s="12" t="str">
        <x:v>Наполнители</x:v>
      </x:c>
      <x:c r="C41" s="12" t="str">
        <x:v>Древесный / хиноки</x:v>
      </x:c>
      <x:c r="D41" s="12" t="str">
        <x:v>Кошки</x:v>
      </x:c>
      <x:c r="E41" s="12" t="str">
        <x:v>CORE</x:v>
      </x:c>
      <x:c r="F41" s="12" t="str">
        <x:v>Высокий</x:v>
      </x:c>
      <x:c r="G41" s="12" t="str">
        <x:v>Premium Pet Япония</x:v>
      </x:c>
      <x:c r="H41" s="12" t="str">
        <x:v>Japan Premium Pet</x:v>
      </x:c>
      <x:c r="I41" s="12" t="str">
        <x:v>741309</x:v>
      </x:c>
      <x:c r="J41" s="12" t="str">
        <x:v>Древесный хиноки 7 л</x:v>
      </x:c>
      <x:c r="K41" s="14"/>
      <x:c r="L41" s="12" t="str">
        <x:v>A</x:v>
      </x:c>
      <x:c r="M41" s="12" t="str">
        <x:v>X</x:v>
      </x:c>
      <x:c r="N41" s="16" t="n">
        <x:v>15</x:v>
      </x:c>
      <x:c r="O41" s="12" t="str">
        <x:v>365 дней</x:v>
      </x:c>
      <x:c r="P41" s="18" t="n">
        <x:v>1.2</x:v>
      </x:c>
      <x:c r="Q41" s="18" t="n">
        <x:v>2</x:v>
      </x:c>
      <x:c r="R41" s="18" t="n">
        <x:v>5</x:v>
      </x:c>
      <x:c r="S41" s="18" t="n">
        <x:v>1</x:v>
      </x:c>
      <x:c r="T41" s="18" t="n">
        <x:v>2</x:v>
      </x:c>
      <x:c r="U41" s="12" t="str">
        <x:v>ОСТАВИТЬ</x:v>
      </x:c>
      <x:c r="V41" s="12" t="str">
        <x:v>CONFIRMED Min/Max</x:v>
      </x:c>
      <x:c r="W41" s="12" t="str">
        <x:v>Фактически продаётся по свежему Premium Pet Min/Max 19.08.2026; MIN/MAX матрицы ограничены из-за премиального чека. Статус CORE здесь функциональный: позиция нужна для ширины категории, но MAX ограничен из-за умеренной/медленной оборачиваемости.</x:v>
      </x:c>
      <x:c r="X41" s="12" t="str">
        <x:f>IF(AND(P41="",N41=""),"НЕТ ИСТОРИИ",IF(IF(P41="",N41/6,P41)&gt;=3,"БЫСТРАЯ",IF(IF(P41="",N41/6,P41)&gt;=1.5,"ХОРОШАЯ",IF(IF(P41="",N41/6,P41)&gt;=0.7,"УМЕРЕННАЯ",IF(IF(P41="",N41/6,P41)&gt;0,"МЕДЛЕННАЯ","НЕТ ПРОДАЖ")))))</x:f>
        <x:v>УМЕРЕННАЯ</x:v>
      </x:c>
      <x:c r="Y41" s="18" t="n">
        <x:f>IF(OR(T41="",AND(P41="",N41=""),IF(P41="",N41/6,P41)=0),"",T41/IF(P41="",N41/6,P41))</x:f>
        <x:v>1.6666666666666667</x:v>
      </x:c>
      <x:c r="Z41" s="12" t="str">
        <x:v>ФАКТ / текущий SKU</x:v>
      </x:c>
      <x:c r="AA41" s="12" t="str">
        <x:v>ДА</x:v>
      </x:c>
    </x:row>
    <x:row r="42">
      <x:c r="A42" s="12" t="str">
        <x:v>PP-FILL-005</x:v>
      </x:c>
      <x:c r="B42" s="12" t="str">
        <x:v>Наполнители</x:v>
      </x:c>
      <x:c r="C42" s="12" t="str">
        <x:v>Древесный / кипарис</x:v>
      </x:c>
      <x:c r="D42" s="12" t="str">
        <x:v>Кошки</x:v>
      </x:c>
      <x:c r="E42" s="12" t="str">
        <x:v>OPTIONAL</x:v>
      </x:c>
      <x:c r="F42" s="12" t="str">
        <x:v>Средний</x:v>
      </x:c>
      <x:c r="G42" s="12" t="str">
        <x:v>Premium Pet Япония</x:v>
      </x:c>
      <x:c r="H42" s="12" t="str">
        <x:v>Japan Premium Pet</x:v>
      </x:c>
      <x:c r="I42" s="12" t="str">
        <x:v>829700</x:v>
      </x:c>
      <x:c r="J42" s="12" t="str">
        <x:v>Древесный горный кипарис 7 л</x:v>
      </x:c>
      <x:c r="K42" s="14"/>
      <x:c r="L42" s="12" t="str">
        <x:v>B</x:v>
      </x:c>
      <x:c r="M42" s="12" t="str">
        <x:v>Y</x:v>
      </x:c>
      <x:c r="N42" s="16" t="n">
        <x:v>9</x:v>
      </x:c>
      <x:c r="O42" s="12" t="str">
        <x:v>365 дней</x:v>
      </x:c>
      <x:c r="P42" s="18" t="n">
        <x:v>0.7</x:v>
      </x:c>
      <x:c r="Q42" s="18" t="n">
        <x:v>1</x:v>
      </x:c>
      <x:c r="R42" s="18" t="n">
        <x:v>3</x:v>
      </x:c>
      <x:c r="S42" s="18" t="n">
        <x:v>1</x:v>
      </x:c>
      <x:c r="T42" s="18" t="n">
        <x:v>1</x:v>
      </x:c>
      <x:c r="U42" s="12" t="str">
        <x:v>ОСТАВИТЬ</x:v>
      </x:c>
      <x:c r="V42" s="12" t="str">
        <x:v>CONFIRMED Min/Max</x:v>
      </x:c>
      <x:c r="W42" s="12" t="str">
        <x:v>Фактически продаётся по свежему Premium Pet Min/Max 19.08.2026; MIN/MAX матрицы ограничены из-за премиального чека.</x:v>
      </x:c>
      <x:c r="X42" s="12" t="str">
        <x:f>IF(AND(P42="",N42=""),"НЕТ ИСТОРИИ",IF(IF(P42="",N42/6,P42)&gt;=3,"БЫСТРАЯ",IF(IF(P42="",N42/6,P42)&gt;=1.5,"ХОРОШАЯ",IF(IF(P42="",N42/6,P42)&gt;=0.7,"УМЕРЕННАЯ",IF(IF(P42="",N42/6,P42)&gt;0,"МЕДЛЕННАЯ","НЕТ ПРОДАЖ")))))</x:f>
        <x:v>УМЕРЕННАЯ</x:v>
      </x:c>
      <x:c r="Y42" s="18" t="n">
        <x:f>IF(OR(T42="",AND(P42="",N42=""),IF(P42="",N42/6,P42)=0),"",T42/IF(P42="",N42/6,P42))</x:f>
        <x:v>1.4285714285714286</x:v>
      </x:c>
      <x:c r="Z42" s="12" t="str">
        <x:v>ФАКТ / текущий SKU</x:v>
      </x:c>
      <x:c r="AA42" s="12" t="str">
        <x:v>ДА</x:v>
      </x:c>
    </x:row>
    <x:row r="43">
      <x:c r="A43" s="12" t="str">
        <x:v>PP-FILL-006</x:v>
      </x:c>
      <x:c r="B43" s="12" t="str">
        <x:v>Наполнители</x:v>
      </x:c>
      <x:c r="C43" s="12" t="str">
        <x:v>Растительный / приучение</x:v>
      </x:c>
      <x:c r="D43" s="12" t="str">
        <x:v>Кошки</x:v>
      </x:c>
      <x:c r="E43" s="12" t="str">
        <x:v>OPTIONAL</x:v>
      </x:c>
      <x:c r="F43" s="12" t="str">
        <x:v>Средний</x:v>
      </x:c>
      <x:c r="G43" s="12" t="str">
        <x:v>Premium Pet Япония</x:v>
      </x:c>
      <x:c r="H43" s="12" t="str">
        <x:v>Japan Premium Pet</x:v>
      </x:c>
      <x:c r="I43" s="12" t="str">
        <x:v>875707</x:v>
      </x:c>
      <x:c r="J43" s="12" t="str">
        <x:v>Растительный 'Луговые травы' для приучения к туалету 7 л</x:v>
      </x:c>
      <x:c r="K43" s="14"/>
      <x:c r="L43" s="12" t="str">
        <x:v>B</x:v>
      </x:c>
      <x:c r="M43" s="12" t="str">
        <x:v>Y</x:v>
      </x:c>
      <x:c r="N43" s="16" t="n">
        <x:v>9</x:v>
      </x:c>
      <x:c r="O43" s="12" t="str">
        <x:v>365 дней</x:v>
      </x:c>
      <x:c r="P43" s="18" t="n">
        <x:v>0.7</x:v>
      </x:c>
      <x:c r="Q43" s="18" t="n">
        <x:v>8</x:v>
      </x:c>
      <x:c r="R43" s="18" t="n">
        <x:v>3</x:v>
      </x:c>
      <x:c r="S43" s="18" t="n">
        <x:v>1</x:v>
      </x:c>
      <x:c r="T43" s="18" t="n">
        <x:v>1</x:v>
      </x:c>
      <x:c r="U43" s="12" t="str">
        <x:v>ОСТАВИТЬ</x:v>
      </x:c>
      <x:c r="V43" s="12" t="str">
        <x:v>CONFIRMED Min/Max</x:v>
      </x:c>
      <x:c r="W43" s="12" t="str">
        <x:v>Фактически продаётся по свежему Premium Pet Min/Max 19.08.2026; MIN/MAX матрицы ограничены из-за премиального чека.</x:v>
      </x:c>
      <x:c r="X43" s="12" t="str">
        <x:f>IF(AND(P43="",N43=""),"НЕТ ИСТОРИИ",IF(IF(P43="",N43/6,P43)&gt;=3,"БЫСТРАЯ",IF(IF(P43="",N43/6,P43)&gt;=1.5,"ХОРОШАЯ",IF(IF(P43="",N43/6,P43)&gt;=0.7,"УМЕРЕННАЯ",IF(IF(P43="",N43/6,P43)&gt;0,"МЕДЛЕННАЯ","НЕТ ПРОДАЖ")))))</x:f>
        <x:v>УМЕРЕННАЯ</x:v>
      </x:c>
      <x:c r="Y43" s="18" t="n">
        <x:f>IF(OR(T43="",AND(P43="",N43=""),IF(P43="",N43/6,P43)=0),"",T43/IF(P43="",N43/6,P43))</x:f>
        <x:v>1.4285714285714286</x:v>
      </x:c>
      <x:c r="Z43" s="12" t="str">
        <x:v>ФАКТ / текущий SKU</x:v>
      </x:c>
      <x:c r="AA43" s="12" t="str">
        <x:v>ДА</x:v>
      </x:c>
    </x:row>
    <x:row r="44">
      <x:c r="A44" s="12" t="str">
        <x:v>NEW-FILL-01</x:v>
      </x:c>
      <x:c r="B44" s="12" t="str">
        <x:v>Наполнители</x:v>
      </x:c>
      <x:c r="C44" s="12" t="str">
        <x:v>Кукурузный смываемый</x:v>
      </x:c>
      <x:c r="D44" s="12" t="str">
        <x:v>Кошки</x:v>
      </x:c>
      <x:c r="E44" s="12" t="str">
        <x:v>TEST</x:v>
      </x:c>
      <x:c r="F44" s="12" t="str">
        <x:v>Средний</x:v>
      </x:c>
      <x:c r="G44" s="12" t="str">
        <x:v>Зооград/Оникиенко</x:v>
      </x:c>
      <x:c r="H44" s="12" t="str">
        <x:v>SAVANNA</x:v>
      </x:c>
      <x:c r="I44" s="12" t="str">
        <x:v>КА-00109892</x:v>
      </x:c>
      <x:c r="J44" s="12" t="str">
        <x:v>SAVANNA FIELD CORN 6 л, кукурузный комкующийся смываемый</x:v>
      </x:c>
      <x:c r="K44" s="14" t="n">
        <x:v>499</x:v>
      </x:c>
      <x:c r="L44" s="12"/>
      <x:c r="M44" s="12"/>
      <x:c r="N44" s="16"/>
      <x:c r="O44" s="12"/>
      <x:c r="P44" s="18"/>
      <x:c r="Q44" s="18"/>
      <x:c r="R44" s="18"/>
      <x:c r="S44" s="18" t="n">
        <x:v>1</x:v>
      </x:c>
      <x:c r="T44" s="18" t="n">
        <x:v>2</x:v>
      </x:c>
      <x:c r="U44" s="12" t="str">
        <x:v>ДОБАВИТЬ TEST</x:v>
      </x:c>
      <x:c r="V44" s="12" t="str">
        <x:v>PRICE CONFIRMED</x:v>
      </x:c>
      <x:c r="W44" s="12" t="str">
        <x:v>Закрывает новый тип наполнителя; не является ароматным дублем. Прогноз основан на сильной оборачиваемости текущих растительных наполнителей; это гипотеза, не фактическая продажа.</x:v>
      </x:c>
      <x:c r="X44" s="12" t="str">
        <x:f>IF(AND(P44="",N44=""),"НЕТ ИСТОРИИ",IF(IF(P44="",N44/6,P44)&gt;=3,"БЫСТРАЯ",IF(IF(P44="",N44/6,P44)&gt;=1.5,"ХОРОШАЯ",IF(IF(P44="",N44/6,P44)&gt;=0.7,"УМЕРЕННАЯ",IF(IF(P44="",N44/6,P44)&gt;0,"МЕДЛЕННАЯ","НЕТ ПРОДАЖ")))))</x:f>
        <x:v>НЕТ ИСТОРИИ</x:v>
      </x:c>
      <x:c r="Y44" s="18" t="str">
        <x:f>IF(OR(T44="",AND(P44="",N44=""),IF(P44="",N44/6,P44)=0),"",T44/IF(P44="",N44/6,P44))</x:f>
      </x:c>
      <x:c r="Z44" s="12" t="str">
        <x:v>ВЫСОКАЯ: растительные/тофу в текущей матрице дают ~3–4+ шт/мес; новый смываемый кукурузный тип</x:v>
      </x:c>
      <x:c r="AA44" s="12" t="str">
        <x:v>ДА</x:v>
      </x:c>
    </x:row>
    <x:row r="45">
      <x:c r="A45" s="12" t="str">
        <x:v>NEW-FILL-02</x:v>
      </x:c>
      <x:c r="B45" s="12" t="str">
        <x:v>Наполнители</x:v>
      </x:c>
      <x:c r="C45" s="12" t="str">
        <x:v>Гибрид тофу+уголь+бентонит</x:v>
      </x:c>
      <x:c r="D45" s="12" t="str">
        <x:v>Кошки</x:v>
      </x:c>
      <x:c r="E45" s="12" t="str">
        <x:v>TEST</x:v>
      </x:c>
      <x:c r="F45" s="12" t="str">
        <x:v>Средний</x:v>
      </x:c>
      <x:c r="G45" s="12" t="str">
        <x:v>Premium Pet Япония</x:v>
      </x:c>
      <x:c r="H45" s="12" t="str">
        <x:v>Japan Premium Pet</x:v>
      </x:c>
      <x:c r="I45" s="12" t="str">
        <x:v>Z5846</x:v>
      </x:c>
      <x:c r="J45" s="12" t="str">
        <x:v>3D MIX: тофу + активированный уголь + бентонит, 2,5 кг</x:v>
      </x:c>
      <x:c r="K45" s="14"/>
      <x:c r="L45" s="12"/>
      <x:c r="M45" s="12"/>
      <x:c r="N45" s="16"/>
      <x:c r="O45" s="12"/>
      <x:c r="P45" s="18"/>
      <x:c r="Q45" s="18"/>
      <x:c r="R45" s="18"/>
      <x:c r="S45" s="18" t="n">
        <x:v>1</x:v>
      </x:c>
      <x:c r="T45" s="18" t="n">
        <x:v>1</x:v>
      </x:c>
      <x:c r="U45" s="12" t="str">
        <x:v>ДОБАВИТЬ TEST</x:v>
      </x:c>
      <x:c r="V45" s="12" t="str">
        <x:v>PRICE 08.2026</x:v>
      </x:c>
      <x:c r="W45" s="12" t="str">
        <x:v>Функционально отличается от текущего тофу; минимальный тест. Запуск минимальный из-за более высокой цены и отсутствия собственной истории. В прайсе Premium Pet одновременно указаны 680 ₽, скидка 570 ₽ и «Летняя акция» 612 ₽; применяемую закупочную цену перед заказом подтвердить, в MASTER не подставлена наугад.</x:v>
      </x:c>
      <x:c r="X45" s="12" t="str">
        <x:f>IF(AND(P45="",N45=""),"НЕТ ИСТОРИИ",IF(IF(P45="",N45/6,P45)&gt;=3,"БЫСТРАЯ",IF(IF(P45="",N45/6,P45)&gt;=1.5,"ХОРОШАЯ",IF(IF(P45="",N45/6,P45)&gt;=0.7,"УМЕРЕННАЯ",IF(IF(P45="",N45/6,P45)&gt;0,"МЕДЛЕННАЯ","НЕТ ПРОДАЖ")))))</x:f>
        <x:v>НЕТ ИСТОРИИ</x:v>
      </x:c>
      <x:c r="Y45" s="18" t="str">
        <x:f>IF(OR(T45="",AND(P45="",N45=""),IF(P45="",N45/6,P45)=0),"",T45/IF(P45="",N45/6,P45))</x:f>
      </x:c>
      <x:c r="Z45" s="12" t="str">
        <x:v>СРЕДНЕ-ВЫСОКАЯ: текущие тофу сильные; 3D MIX функционально отличается углём/бентонитом</x:v>
      </x:c>
      <x:c r="AA45" s="12" t="str">
        <x:v>ДА</x:v>
      </x:c>
    </x:row>
    <x:row r="46">
      <x:c r="A46" s="12" t="str">
        <x:v>NEW-FILL-03</x:v>
      </x:c>
      <x:c r="B46" s="12" t="str">
        <x:v>Наполнители</x:v>
      </x:c>
      <x:c r="C46" s="12" t="str">
        <x:v>Контроль состояния / полимерный</x:v>
      </x:c>
      <x:c r="D46" s="12" t="str">
        <x:v>Кошки</x:v>
      </x:c>
      <x:c r="E46" s="12" t="str">
        <x:v>TEST</x:v>
      </x:c>
      <x:c r="F46" s="12" t="str">
        <x:v>Низкий</x:v>
      </x:c>
      <x:c r="G46" s="12" t="str">
        <x:v>Premium Pet Япония</x:v>
      </x:c>
      <x:c r="H46" s="12" t="str">
        <x:v>Japan Premium Pet</x:v>
      </x:c>
      <x:c r="I46" s="12" t="str">
        <x:v>914505</x:v>
      </x:c>
      <x:c r="J46" s="12" t="str">
        <x:v>Полимерный наполнитель с функцией контроля состояния, 7 л</x:v>
      </x:c>
      <x:c r="K46" s="14" t="n">
        <x:v>801</x:v>
      </x:c>
      <x:c r="L46" s="12"/>
      <x:c r="M46" s="12"/>
      <x:c r="N46" s="16"/>
      <x:c r="O46" s="12"/>
      <x:c r="P46" s="18"/>
      <x:c r="Q46" s="18"/>
      <x:c r="R46" s="18"/>
      <x:c r="S46" s="18" t="n">
        <x:v>1</x:v>
      </x:c>
      <x:c r="T46" s="18" t="n">
        <x:v>1</x:v>
      </x:c>
      <x:c r="U46" s="12" t="str">
        <x:v>НЕ ВВОДИТЬ СЕЙЧАС</x:v>
      </x:c>
      <x:c r="V46" s="12" t="str">
        <x:v>PRICE 08.2026</x:v>
      </x:c>
      <x:c r="W46" s="12" t="str">
        <x:v>Отдельная health-control функция; дорогой, поэтому 1/1. Отложен: сначала используем существующий индикаторный Premium Pet; новый SKU может каннибализировать его.</x:v>
      </x:c>
      <x:c r="X46" s="12" t="str">
        <x:f>IF(AND(P46="",N46=""),"НЕТ ИСТОРИИ",IF(IF(P46="",N46/6,P46)&gt;=3,"БЫСТРАЯ",IF(IF(P46="",N46/6,P46)&gt;=1.5,"ХОРОШАЯ",IF(IF(P46="",N46/6,P46)&gt;=0.7,"УМЕРЕННАЯ",IF(IF(P46="",N46/6,P46)&gt;0,"МЕДЛЕННАЯ","НЕТ ПРОДАЖ")))))</x:f>
        <x:v>НЕТ ИСТОРИИ</x:v>
      </x:c>
      <x:c r="Y46" s="18" t="str">
        <x:f>IF(OR(T46="",AND(P46="",N46=""),IF(P46="",N46/6,P46)=0),"",T46/IF(P46="",N46/6,P46))</x:f>
      </x:c>
      <x:c r="Z46" s="12" t="str">
        <x:v>НИЗКО-СРЕДНЯЯ: пересечение с уже продающимся 730204 health/indicator (≈1.3 шт/мес)</x:v>
      </x:c>
      <x:c r="AA46" s="12" t="str">
        <x:v>НЕТ</x:v>
      </x:c>
    </x:row>
    <x:row r="47">
      <x:c r="A47" s="12" t="str">
        <x:v>BEH-001</x:v>
      </x:c>
      <x:c r="B47" s="12" t="str">
        <x:v>Поведение и запах</x:v>
      </x:c>
      <x:c r="C47" s="12" t="str">
        <x:v>Отучение гадить</x:v>
      </x:c>
      <x:c r="D47" s="12" t="str">
        <x:v>Кошки/собаки</x:v>
      </x:c>
      <x:c r="E47" s="12" t="str">
        <x:v>CORE</x:v>
      </x:c>
      <x:c r="F47" s="12" t="str">
        <x:v>Высокий</x:v>
      </x:c>
      <x:c r="G47" s="12" t="str">
        <x:v>Зооград</x:v>
      </x:c>
      <x:c r="H47" s="12" t="str">
        <x:v>Animal Play</x:v>
      </x:c>
      <x:c r="I47" s="12" t="str">
        <x:v>AP05-00090</x:v>
      </x:c>
      <x:c r="J47" s="12" t="str">
        <x:v>Спрей Отучение гадить 200 мл</x:v>
      </x:c>
      <x:c r="K47" s="14" t="n">
        <x:v>152.4</x:v>
      </x:c>
      <x:c r="L47" s="12" t="str">
        <x:v>A</x:v>
      </x:c>
      <x:c r="M47" s="12" t="str">
        <x:v>X</x:v>
      </x:c>
      <x:c r="N47" s="16" t="n">
        <x:v>9</x:v>
      </x:c>
      <x:c r="O47" s="12" t="str">
        <x:v>12.01–14.07.2026</x:v>
      </x:c>
      <x:c r="P47" s="18" t="n">
        <x:v>1.5</x:v>
      </x:c>
      <x:c r="Q47" s="18"/>
      <x:c r="R47" s="18" t="n">
        <x:v>4</x:v>
      </x:c>
      <x:c r="S47" s="18" t="n">
        <x:v>2</x:v>
      </x:c>
      <x:c r="T47" s="18" t="n">
        <x:v>4</x:v>
      </x:c>
      <x:c r="U47" s="12" t="str">
        <x:v>ОСТАВИТЬ</x:v>
      </x:c>
      <x:c r="V47" s="12" t="str">
        <x:v>CONFIRMED</x:v>
      </x:c>
      <x:c r="W47" s="12" t="str">
        <x:v>Продажи 9 шт.; дешевле дублирующего Mr.Fresh.</x:v>
      </x:c>
      <x:c r="X47" s="12" t="str">
        <x:f>IF(AND(P47="",N47=""),"НЕТ ИСТОРИИ",IF(IF(P47="",N47/6,P47)&gt;=3,"БЫСТРАЯ",IF(IF(P47="",N47/6,P47)&gt;=1.5,"ХОРОШАЯ",IF(IF(P47="",N47/6,P47)&gt;=0.7,"УМЕРЕННАЯ",IF(IF(P47="",N47/6,P47)&gt;0,"МЕДЛЕННАЯ","НЕТ ПРОДАЖ")))))</x:f>
        <x:v>ХОРОШАЯ</x:v>
      </x:c>
      <x:c r="Y47" s="18" t="n">
        <x:f>IF(OR(T47="",AND(P47="",N47=""),IF(P47="",N47/6,P47)=0),"",T47/IF(P47="",N47/6,P47))</x:f>
        <x:v>2.6666666666666665</x:v>
      </x:c>
      <x:c r="Z47" s="12" t="str">
        <x:v>ФАКТ / текущий SKU</x:v>
      </x:c>
      <x:c r="AA47" s="12" t="str">
        <x:v>ДА</x:v>
      </x:c>
    </x:row>
    <x:row r="48">
      <x:c r="A48" s="12" t="str">
        <x:v>BEH-002</x:v>
      </x:c>
      <x:c r="B48" s="12" t="str">
        <x:v>Поведение и запах</x:v>
      </x:c>
      <x:c r="C48" s="12" t="str">
        <x:v>Приучение к туалету</x:v>
      </x:c>
      <x:c r="D48" s="12" t="str">
        <x:v>Кошки/собаки</x:v>
      </x:c>
      <x:c r="E48" s="12" t="str">
        <x:v>CORE</x:v>
      </x:c>
      <x:c r="F48" s="12" t="str">
        <x:v>Высокий</x:v>
      </x:c>
      <x:c r="G48" s="12" t="str">
        <x:v>Зооград</x:v>
      </x:c>
      <x:c r="H48" s="12" t="str">
        <x:v>Animal Play</x:v>
      </x:c>
      <x:c r="I48" s="12" t="str">
        <x:v>AP05-00100</x:v>
      </x:c>
      <x:c r="J48" s="12" t="str">
        <x:v>Спрей Приучение к туалету 200 мл</x:v>
      </x:c>
      <x:c r="K48" s="14" t="n">
        <x:v>152.4</x:v>
      </x:c>
      <x:c r="L48" s="12" t="str">
        <x:v>A</x:v>
      </x:c>
      <x:c r="M48" s="12" t="str">
        <x:v>X</x:v>
      </x:c>
      <x:c r="N48" s="16" t="n">
        <x:v>8</x:v>
      </x:c>
      <x:c r="O48" s="12" t="str">
        <x:v>12.01–14.07.2026</x:v>
      </x:c>
      <x:c r="P48" s="18" t="n">
        <x:v>1.3</x:v>
      </x:c>
      <x:c r="Q48" s="18"/>
      <x:c r="R48" s="18" t="n">
        <x:v>3</x:v>
      </x:c>
      <x:c r="S48" s="18" t="n">
        <x:v>2</x:v>
      </x:c>
      <x:c r="T48" s="18" t="n">
        <x:v>3</x:v>
      </x:c>
      <x:c r="U48" s="12" t="str">
        <x:v>ОСТАВИТЬ</x:v>
      </x:c>
      <x:c r="V48" s="12" t="str">
        <x:v>CONFIRMED</x:v>
      </x:c>
      <x:c r="W48" s="12" t="str">
        <x:v>Продажи 8 шт.; понятная базовая функция.</x:v>
      </x:c>
      <x:c r="X48" s="12" t="str">
        <x:f>IF(AND(P48="",N48=""),"НЕТ ИСТОРИИ",IF(IF(P48="",N48/6,P48)&gt;=3,"БЫСТРАЯ",IF(IF(P48="",N48/6,P48)&gt;=1.5,"ХОРОШАЯ",IF(IF(P48="",N48/6,P48)&gt;=0.7,"УМЕРЕННАЯ",IF(IF(P48="",N48/6,P48)&gt;0,"МЕДЛЕННАЯ","НЕТ ПРОДАЖ")))))</x:f>
        <x:v>УМЕРЕННАЯ</x:v>
      </x:c>
      <x:c r="Y48" s="18" t="n">
        <x:f>IF(OR(T48="",AND(P48="",N48=""),IF(P48="",N48/6,P48)=0),"",T48/IF(P48="",N48/6,P48))</x:f>
        <x:v>2.3076923076923075</x:v>
      </x:c>
      <x:c r="Z48" s="12" t="str">
        <x:v>ФАКТ / текущий SKU</x:v>
      </x:c>
      <x:c r="AA48" s="12" t="str">
        <x:v>ДА</x:v>
      </x:c>
    </x:row>
    <x:row r="49">
      <x:c r="A49" s="12" t="str">
        <x:v>BEH-003</x:v>
      </x:c>
      <x:c r="B49" s="12" t="str">
        <x:v>Поведение и запах</x:v>
      </x:c>
      <x:c r="C49" s="12" t="str">
        <x:v>Приучение к когтеточке</x:v>
      </x:c>
      <x:c r="D49" s="12" t="str">
        <x:v>Кошки</x:v>
      </x:c>
      <x:c r="E49" s="12" t="str">
        <x:v>OPTIONAL</x:v>
      </x:c>
      <x:c r="F49" s="12" t="str">
        <x:v>Средний</x:v>
      </x:c>
      <x:c r="G49" s="12" t="str">
        <x:v>Зооград</x:v>
      </x:c>
      <x:c r="H49" s="12" t="str">
        <x:v>Mr.Fresh Expert</x:v>
      </x:c>
      <x:c r="I49" s="12" t="str">
        <x:v>F413</x:v>
      </x:c>
      <x:c r="J49" s="12" t="str">
        <x:v>Спрей Приучение к когтеточке 200 мл</x:v>
      </x:c>
      <x:c r="K49" s="14" t="n">
        <x:v>303.03</x:v>
      </x:c>
      <x:c r="L49" s="12" t="str">
        <x:v>C</x:v>
      </x:c>
      <x:c r="M49" s="12" t="str">
        <x:v>Y</x:v>
      </x:c>
      <x:c r="N49" s="16" t="n">
        <x:v>1</x:v>
      </x:c>
      <x:c r="O49" s="12" t="str">
        <x:v>12.01–14.07.2026</x:v>
      </x:c>
      <x:c r="P49" s="18"/>
      <x:c r="Q49" s="18"/>
      <x:c r="R49" s="18" t="n">
        <x:v>0</x:v>
      </x:c>
      <x:c r="S49" s="18" t="n">
        <x:v>1</x:v>
      </x:c>
      <x:c r="T49" s="18" t="n">
        <x:v>2</x:v>
      </x:c>
      <x:c r="U49" s="12" t="str">
        <x:v>ОСТАВИТЬ</x:v>
      </x:c>
      <x:c r="V49" s="12" t="str">
        <x:v>CONFIRMED</x:v>
      </x:c>
      <x:c r="W49" s="12" t="str">
        <x:v>Отдельная функция; низкая скорость — малый запас.</x:v>
      </x:c>
      <x:c r="X49" s="12" t="str">
        <x:f>IF(AND(P49="",N49=""),"НЕТ ИСТОРИИ",IF(IF(P49="",N49/6,P49)&gt;=3,"БЫСТРАЯ",IF(IF(P49="",N49/6,P49)&gt;=1.5,"ХОРОШАЯ",IF(IF(P49="",N49/6,P49)&gt;=0.7,"УМЕРЕННАЯ",IF(IF(P49="",N49/6,P49)&gt;0,"МЕДЛЕННАЯ","НЕТ ПРОДАЖ")))))</x:f>
        <x:v>МЕДЛЕННАЯ</x:v>
      </x:c>
      <x:c r="Y49" s="18" t="n">
        <x:f>IF(OR(T49="",AND(P49="",N49=""),IF(P49="",N49/6,P49)=0),"",T49/IF(P49="",N49/6,P49))</x:f>
        <x:v>12</x:v>
      </x:c>
      <x:c r="Z49" s="12" t="str">
        <x:v>ФАКТ / текущий SKU</x:v>
      </x:c>
      <x:c r="AA49" s="12" t="str">
        <x:v>ДА</x:v>
      </x:c>
    </x:row>
    <x:row r="50">
      <x:c r="A50" s="12" t="str">
        <x:v>BEH-004</x:v>
      </x:c>
      <x:c r="B50" s="12" t="str">
        <x:v>Поведение и запах</x:v>
      </x:c>
      <x:c r="C50" s="12" t="str">
        <x:v>Пятна и запах</x:v>
      </x:c>
      <x:c r="D50" s="12" t="str">
        <x:v>Кошки</x:v>
      </x:c>
      <x:c r="E50" s="12" t="str">
        <x:v>OPTIONAL</x:v>
      </x:c>
      <x:c r="F50" s="12" t="str">
        <x:v>Средний</x:v>
      </x:c>
      <x:c r="G50" s="12" t="str">
        <x:v>Зооград</x:v>
      </x:c>
      <x:c r="H50" s="12" t="str">
        <x:v>Mr.Fresh Expert</x:v>
      </x:c>
      <x:c r="I50" s="12" t="str">
        <x:v>F403</x:v>
      </x:c>
      <x:c r="J50" s="12" t="str">
        <x:v>Ликвидатор пятен и запаха 500 мл</x:v>
      </x:c>
      <x:c r="K50" s="14" t="n">
        <x:v>380.8</x:v>
      </x:c>
      <x:c r="L50" s="12" t="str">
        <x:v>C</x:v>
      </x:c>
      <x:c r="M50" s="12" t="str">
        <x:v>Z</x:v>
      </x:c>
      <x:c r="N50" s="16" t="n">
        <x:v>1</x:v>
      </x:c>
      <x:c r="O50" s="12" t="str">
        <x:v>12.01–14.07.2026</x:v>
      </x:c>
      <x:c r="P50" s="18"/>
      <x:c r="Q50" s="18"/>
      <x:c r="R50" s="18" t="n">
        <x:v>0</x:v>
      </x:c>
      <x:c r="S50" s="18" t="n">
        <x:v>1</x:v>
      </x:c>
      <x:c r="T50" s="18" t="n">
        <x:v>2</x:v>
      </x:c>
      <x:c r="U50" s="12" t="str">
        <x:v>ОСТАВИТЬ</x:v>
      </x:c>
      <x:c r="V50" s="12" t="str">
        <x:v>CONFIRMED</x:v>
      </x:c>
      <x:c r="W50" s="12" t="str">
        <x:v>Нужная функция, но слабая история.</x:v>
      </x:c>
      <x:c r="X50" s="12" t="str">
        <x:f>IF(AND(P50="",N50=""),"НЕТ ИСТОРИИ",IF(IF(P50="",N50/6,P50)&gt;=3,"БЫСТРАЯ",IF(IF(P50="",N50/6,P50)&gt;=1.5,"ХОРОШАЯ",IF(IF(P50="",N50/6,P50)&gt;=0.7,"УМЕРЕННАЯ",IF(IF(P50="",N50/6,P50)&gt;0,"МЕДЛЕННАЯ","НЕТ ПРОДАЖ")))))</x:f>
        <x:v>МЕДЛЕННАЯ</x:v>
      </x:c>
      <x:c r="Y50" s="18" t="n">
        <x:f>IF(OR(T50="",AND(P50="",N50=""),IF(P50="",N50/6,P50)=0),"",T50/IF(P50="",N50/6,P50))</x:f>
        <x:v>12</x:v>
      </x:c>
      <x:c r="Z50" s="12" t="str">
        <x:v>ФАКТ / текущий SKU</x:v>
      </x:c>
      <x:c r="AA50" s="12" t="str">
        <x:v>ДА</x:v>
      </x:c>
    </x:row>
    <x:row r="51">
      <x:c r="A51" s="12" t="str">
        <x:v>BEH-005</x:v>
      </x:c>
      <x:c r="B51" s="12" t="str">
        <x:v>Поведение и запах</x:v>
      </x:c>
      <x:c r="C51" s="12" t="str">
        <x:v>Отучение гадить</x:v>
      </x:c>
      <x:c r="D51" s="12" t="str">
        <x:v>Кошки</x:v>
      </x:c>
      <x:c r="E51" s="12" t="str">
        <x:v>EXIT</x:v>
      </x:c>
      <x:c r="F51" s="12" t="str">
        <x:v>Низкий</x:v>
      </x:c>
      <x:c r="G51" s="12" t="str">
        <x:v>Зооград</x:v>
      </x:c>
      <x:c r="H51" s="12" t="str">
        <x:v>Mr.Fresh Expert</x:v>
      </x:c>
      <x:c r="I51" s="12" t="str">
        <x:v>F407</x:v>
      </x:c>
      <x:c r="J51" s="12" t="str">
        <x:v>Спрей Отучение гадить 200 мл</x:v>
      </x:c>
      <x:c r="K51" s="14" t="n">
        <x:v>317</x:v>
      </x:c>
      <x:c r="L51" s="12" t="str">
        <x:v>B</x:v>
      </x:c>
      <x:c r="M51" s="12" t="str">
        <x:v>Y</x:v>
      </x:c>
      <x:c r="N51" s="16" t="n">
        <x:v>2</x:v>
      </x:c>
      <x:c r="O51" s="12" t="str">
        <x:v>12.01–14.07.2026</x:v>
      </x:c>
      <x:c r="P51" s="18" t="n">
        <x:v>0.3</x:v>
      </x:c>
      <x:c r="Q51" s="18"/>
      <x:c r="R51" s="18" t="n">
        <x:v>0</x:v>
      </x:c>
      <x:c r="S51" s="18" t="n">
        <x:v>0</x:v>
      </x:c>
      <x:c r="T51" s="18" t="n">
        <x:v>0</x:v>
      </x:c>
      <x:c r="U51" s="12" t="str">
        <x:v>НЕ ПОПОЛНЯТЬ</x:v>
      </x:c>
      <x:c r="V51" s="12" t="str">
        <x:v>CONFIRMED</x:v>
      </x:c>
      <x:c r="W51" s="12" t="str">
        <x:v>Дублирует Animal Play, дороже и продаётся слабее.</x:v>
      </x:c>
      <x:c r="X51" s="12" t="str">
        <x:f>IF(AND(P51="",N51=""),"НЕТ ИСТОРИИ",IF(IF(P51="",N51/6,P51)&gt;=3,"БЫСТРАЯ",IF(IF(P51="",N51/6,P51)&gt;=1.5,"ХОРОШАЯ",IF(IF(P51="",N51/6,P51)&gt;=0.7,"УМЕРЕННАЯ",IF(IF(P51="",N51/6,P51)&gt;0,"МЕДЛЕННАЯ","НЕТ ПРОДАЖ")))))</x:f>
        <x:v>МЕДЛЕННАЯ</x:v>
      </x:c>
      <x:c r="Y51" s="18" t="str">
        <x:f>IF(OR(T51="",AND(P51="",N51=""),IF(P51="",N51/6,P51)=0),"",T51/IF(P51="",N51/6,P51))</x:f>
      </x:c>
      <x:c r="Z51" s="12" t="str">
        <x:v>ФАКТ / текущий SKU</x:v>
      </x:c>
      <x:c r="AA51" s="12" t="str">
        <x:v>ДА</x:v>
      </x:c>
    </x:row>
    <x:row r="52">
      <x:c r="A52" s="12" t="str">
        <x:v>ODOR-001</x:v>
      </x:c>
      <x:c r="B52" s="12" t="str">
        <x:v>Поведение и запах</x:v>
      </x:c>
      <x:c r="C52" s="12" t="str">
        <x:v>Порошок для наполнителя</x:v>
      </x:c>
      <x:c r="D52" s="12" t="str">
        <x:v>Кошки</x:v>
      </x:c>
      <x:c r="E52" s="12" t="str">
        <x:v>CORE</x:v>
      </x:c>
      <x:c r="F52" s="12" t="str">
        <x:v>Высокий</x:v>
      </x:c>
      <x:c r="G52" s="12" t="str">
        <x:v>Зооград</x:v>
      </x:c>
      <x:c r="H52" s="12" t="str">
        <x:v>Mr.Fresh Expert</x:v>
      </x:c>
      <x:c r="I52" s="12" t="str"/>
      <x:c r="J52" s="12" t="str">
        <x:v>Порошок Ликвидатор запахов 500 г</x:v>
      </x:c>
      <x:c r="K52" s="14" t="n">
        <x:v>163.4</x:v>
      </x:c>
      <x:c r="L52" s="12" t="str">
        <x:v>B</x:v>
      </x:c>
      <x:c r="M52" s="12" t="str">
        <x:v>Y</x:v>
      </x:c>
      <x:c r="N52" s="16" t="n">
        <x:v>4</x:v>
      </x:c>
      <x:c r="O52" s="12" t="str">
        <x:v>12.01–14.07.2026</x:v>
      </x:c>
      <x:c r="P52" s="18" t="n">
        <x:v>0.7</x:v>
      </x:c>
      <x:c r="Q52" s="18" t="n">
        <x:v>2</x:v>
      </x:c>
      <x:c r="R52" s="18" t="n">
        <x:v>2</x:v>
      </x:c>
      <x:c r="S52" s="18" t="n">
        <x:v>1</x:v>
      </x:c>
      <x:c r="T52" s="18" t="n">
        <x:v>2</x:v>
      </x:c>
      <x:c r="U52" s="12" t="str">
        <x:v>ОСТАВИТЬ</x:v>
      </x:c>
      <x:c r="V52" s="12" t="str">
        <x:v>ARTICLE MISSING</x:v>
      </x:c>
      <x:c r="W52" s="12" t="str">
        <x:v>Продано 4 шт.; источник не содержит артикул — Kimi не должен придумывать.</x:v>
      </x:c>
      <x:c r="X52" s="12" t="str">
        <x:f>IF(AND(P52="",N52=""),"НЕТ ИСТОРИИ",IF(IF(P52="",N52/6,P52)&gt;=3,"БЫСТРАЯ",IF(IF(P52="",N52/6,P52)&gt;=1.5,"ХОРОШАЯ",IF(IF(P52="",N52/6,P52)&gt;=0.7,"УМЕРЕННАЯ",IF(IF(P52="",N52/6,P52)&gt;0,"МЕДЛЕННАЯ","НЕТ ПРОДАЖ")))))</x:f>
        <x:v>УМЕРЕННАЯ</x:v>
      </x:c>
      <x:c r="Y52" s="18" t="n">
        <x:f>IF(OR(T52="",AND(P52="",N52=""),IF(P52="",N52/6,P52)=0),"",T52/IF(P52="",N52/6,P52))</x:f>
        <x:v>2.857142857142857</x:v>
      </x:c>
      <x:c r="Z52" s="12" t="str">
        <x:v>ФАКТ / текущий SKU</x:v>
      </x:c>
      <x:c r="AA52" s="12" t="str">
        <x:v>ДА</x:v>
      </x:c>
    </x:row>
    <x:row r="53">
      <x:c r="A53" s="12" t="str">
        <x:v>ODOR-002</x:v>
      </x:c>
      <x:c r="B53" s="12" t="str">
        <x:v>Поведение и запах</x:v>
      </x:c>
      <x:c r="C53" s="12" t="str">
        <x:v>Таблетка в туалет</x:v>
      </x:c>
      <x:c r="D53" s="12" t="str">
        <x:v>Кошки</x:v>
      </x:c>
      <x:c r="E53" s="12" t="str">
        <x:v>TEST</x:v>
      </x:c>
      <x:c r="F53" s="12" t="str">
        <x:v>Средний</x:v>
      </x:c>
      <x:c r="G53" s="12" t="str">
        <x:v>Premium Pet Япония</x:v>
      </x:c>
      <x:c r="H53" s="12" t="str">
        <x:v>Japan Premium Pet</x:v>
      </x:c>
      <x:c r="I53" s="12" t="str">
        <x:v>901604</x:v>
      </x:c>
      <x:c r="J53" s="12" t="str">
        <x:v>Уничтожитель запаха для кошачьего туалета, таблетки 12×5 г, без запаха</x:v>
      </x:c>
      <x:c r="K53" s="14" t="n">
        <x:v>308</x:v>
      </x:c>
      <x:c r="L53" s="12"/>
      <x:c r="M53" s="12"/>
      <x:c r="N53" s="16"/>
      <x:c r="O53" s="12"/>
      <x:c r="P53" s="18"/>
      <x:c r="Q53" s="18"/>
      <x:c r="R53" s="18"/>
      <x:c r="S53" s="18" t="n">
        <x:v>1</x:v>
      </x:c>
      <x:c r="T53" s="18" t="n">
        <x:v>2</x:v>
      </x:c>
      <x:c r="U53" s="12" t="str">
        <x:v>ДОБАВИТЬ TEST</x:v>
      </x:c>
      <x:c r="V53" s="12" t="str">
        <x:v>PRICE 08.2026</x:v>
      </x:c>
      <x:c r="W53" s="12" t="str">
        <x:v>Другой формат против запаха; ароматный дубль 901703 не добавлять на старте. Один новый формат против запаха достаточно для теста.</x:v>
      </x:c>
      <x:c r="X53" s="12" t="str">
        <x:f>IF(AND(P53="",N53=""),"НЕТ ИСТОРИИ",IF(IF(P53="",N53/6,P53)&gt;=3,"БЫСТРАЯ",IF(IF(P53="",N53/6,P53)&gt;=1.5,"ХОРОШАЯ",IF(IF(P53="",N53/6,P53)&gt;=0.7,"УМЕРЕННАЯ",IF(IF(P53="",N53/6,P53)&gt;0,"МЕДЛЕННАЯ","НЕТ ПРОДАЖ")))))</x:f>
        <x:v>НЕТ ИСТОРИИ</x:v>
      </x:c>
      <x:c r="Y53" s="18" t="str">
        <x:f>IF(OR(T53="",AND(P53="",N53=""),IF(P53="",N53/6,P53)=0),"",T53/IF(P53="",N53/6,P53))</x:f>
      </x:c>
      <x:c r="Z53" s="12" t="str">
        <x:v>СРЕДНЯЯ: базовый порошок запаха продаётся ~0.7/мес, формат таблетки отличается и подходит для допродажи</x:v>
      </x:c>
      <x:c r="AA53" s="12" t="str">
        <x:v>ДА</x:v>
      </x:c>
    </x:row>
    <x:row r="54">
      <x:c r="A54" s="12" t="str">
        <x:v>ODOR-003</x:v>
      </x:c>
      <x:c r="B54" s="12" t="str">
        <x:v>Поведение и запах</x:v>
      </x:c>
      <x:c r="C54" s="12" t="str">
        <x:v>Обработка лотка</x:v>
      </x:c>
      <x:c r="D54" s="12" t="str">
        <x:v>Кошки</x:v>
      </x:c>
      <x:c r="E54" s="12" t="str">
        <x:v>TEST</x:v>
      </x:c>
      <x:c r="F54" s="12" t="str">
        <x:v>Низкий</x:v>
      </x:c>
      <x:c r="G54" s="12" t="str">
        <x:v>Premium Pet Япония</x:v>
      </x:c>
      <x:c r="H54" s="12" t="str">
        <x:v>Japan Premium Pet</x:v>
      </x:c>
      <x:c r="I54" s="12" t="str">
        <x:v>868709</x:v>
      </x:c>
      <x:c r="J54" s="12" t="str">
        <x:v>Средство для мгновенного устранения запаха/бактерий в лотке</x:v>
      </x:c>
      <x:c r="K54" s="14" t="n">
        <x:v>489</x:v>
      </x:c>
      <x:c r="L54" s="12"/>
      <x:c r="M54" s="12"/>
      <x:c r="N54" s="16"/>
      <x:c r="O54" s="12"/>
      <x:c r="P54" s="18"/>
      <x:c r="Q54" s="18"/>
      <x:c r="R54" s="18"/>
      <x:c r="S54" s="18" t="n">
        <x:v>1</x:v>
      </x:c>
      <x:c r="T54" s="18" t="n">
        <x:v>1</x:v>
      </x:c>
      <x:c r="U54" s="12" t="str">
        <x:v>НЕ ВВОДИТЬ СЕЙЧАС</x:v>
      </x:c>
      <x:c r="V54" s="12" t="str">
        <x:v>PRICE 08.2026</x:v>
      </x:c>
      <x:c r="W54" s="12" t="str">
        <x:v>Отдельная функция очистки самого лотка, не наполнителя. Отложить до результатов теста ODOR-002.</x:v>
      </x:c>
      <x:c r="X54" s="12" t="str">
        <x:f>IF(AND(P54="",N54=""),"НЕТ ИСТОРИИ",IF(IF(P54="",N54/6,P54)&gt;=3,"БЫСТРАЯ",IF(IF(P54="",N54/6,P54)&gt;=1.5,"ХОРОШАЯ",IF(IF(P54="",N54/6,P54)&gt;=0.7,"УМЕРЕННАЯ",IF(IF(P54="",N54/6,P54)&gt;0,"МЕДЛЕННАЯ","НЕТ ПРОДАЖ")))))</x:f>
        <x:v>НЕТ ИСТОРИИ</x:v>
      </x:c>
      <x:c r="Y54" s="18" t="str">
        <x:f>IF(OR(T54="",AND(P54="",N54=""),IF(P54="",N54/6,P54)=0),"",T54/IF(P54="",N54/6,P54))</x:f>
      </x:c>
      <x:c r="Z54" s="12" t="str">
        <x:v>НИЗКО-СРЕДНЯЯ: существующие средства пятна/запах продаются медленно; не запускать несколько премиальных дублей одновременно</x:v>
      </x:c>
      <x:c r="AA54" s="12" t="str">
        <x:v>НЕТ</x:v>
      </x:c>
    </x:row>
    <x:row r="55">
      <x:c r="A55" s="12" t="str">
        <x:v>ODOR-004</x:v>
      </x:c>
      <x:c r="B55" s="12" t="str">
        <x:v>Поведение и запах</x:v>
      </x:c>
      <x:c r="C55" s="12" t="str">
        <x:v>Метки / запах</x:v>
      </x:c>
      <x:c r="D55" s="12" t="str">
        <x:v>Кошки</x:v>
      </x:c>
      <x:c r="E55" s="12" t="str">
        <x:v>TEST</x:v>
      </x:c>
      <x:c r="F55" s="12" t="str">
        <x:v>Низкий</x:v>
      </x:c>
      <x:c r="G55" s="12" t="str">
        <x:v>Premium Pet Япония</x:v>
      </x:c>
      <x:c r="H55" s="12" t="str">
        <x:v>Japan Premium Pet</x:v>
      </x:c>
      <x:c r="I55" s="12" t="str">
        <x:v>373181</x:v>
      </x:c>
      <x:c r="J55" s="12" t="str">
        <x:v>Натуральный уничтожитель запаха и меток для кошек</x:v>
      </x:c>
      <x:c r="K55" s="14" t="n">
        <x:v>446</x:v>
      </x:c>
      <x:c r="L55" s="12"/>
      <x:c r="M55" s="12"/>
      <x:c r="N55" s="16"/>
      <x:c r="O55" s="12"/>
      <x:c r="P55" s="18"/>
      <x:c r="Q55" s="18"/>
      <x:c r="R55" s="18"/>
      <x:c r="S55" s="18" t="n">
        <x:v>1</x:v>
      </x:c>
      <x:c r="T55" s="18" t="n">
        <x:v>1</x:v>
      </x:c>
      <x:c r="U55" s="12" t="str">
        <x:v>НЕ ВВОДИТЬ СЕЙЧАС</x:v>
      </x:c>
      <x:c r="V55" s="12" t="str">
        <x:v>PRICE 08.2026</x:v>
      </x:c>
      <x:c r="W55" s="12" t="str">
        <x:v>Тест как премиальная альтернатива; рефил не заводить до подтверждения спроса. Не расширять блок меток до подтверждения спроса на текущие позиции.</x:v>
      </x:c>
      <x:c r="X55" s="12" t="str">
        <x:f>IF(AND(P55="",N55=""),"НЕТ ИСТОРИИ",IF(IF(P55="",N55/6,P55)&gt;=3,"БЫСТРАЯ",IF(IF(P55="",N55/6,P55)&gt;=1.5,"ХОРОШАЯ",IF(IF(P55="",N55/6,P55)&gt;=0.7,"УМЕРЕННАЯ",IF(IF(P55="",N55/6,P55)&gt;0,"МЕДЛЕННАЯ","НЕТ ПРОДАЖ")))))</x:f>
        <x:v>НЕТ ИСТОРИИ</x:v>
      </x:c>
      <x:c r="Y55" s="18" t="str">
        <x:f>IF(OR(T55="",AND(P55="",N55=""),IF(P55="",N55/6,P55)=0),"",T55/IF(P55="",N55/6,P55))</x:f>
      </x:c>
      <x:c r="Z55" s="12" t="str">
        <x:v>НИЗКО-СРЕДНЯЯ: функция уже частично закрыта текущим ликвидатором пятен/запаха</x:v>
      </x:c>
      <x:c r="AA55" s="12" t="str">
        <x:v>НЕТ</x:v>
      </x:c>
    </x:row>
    <x:row r="56">
      <x:c r="A56" s="12" t="str">
        <x:v>TRAY-001</x:v>
      </x:c>
      <x:c r="B56" s="12" t="str">
        <x:v>Туалеты и аксессуары</x:v>
      </x:c>
      <x:c r="C56" s="12" t="str">
        <x:v>Открытый малый с сеткой</x:v>
      </x:c>
      <x:c r="D56" s="12" t="str">
        <x:v>Кошки</x:v>
      </x:c>
      <x:c r="E56" s="12" t="str">
        <x:v>CORE</x:v>
      </x:c>
      <x:c r="F56" s="12" t="str">
        <x:v>Высокий</x:v>
      </x:c>
      <x:c r="G56" s="12" t="str">
        <x:v>Зооград/Оникиенко</x:v>
      </x:c>
      <x:c r="H56" s="12" t="str">
        <x:v>ZooM</x:v>
      </x:c>
      <x:c r="I56" s="12" t="str">
        <x:v>2925сер</x:v>
      </x:c>
      <x:c r="J56" s="12" t="str">
        <x:v>Кошка малый с сеткой серый 24×33×5 см</x:v>
      </x:c>
      <x:c r="K56" s="14" t="n">
        <x:v>234</x:v>
      </x:c>
      <x:c r="L56" s="12" t="str">
        <x:v>B</x:v>
      </x:c>
      <x:c r="M56" s="12" t="str">
        <x:v>B</x:v>
      </x:c>
      <x:c r="N56" s="16"/>
      <x:c r="O56" s="12" t="str">
        <x:v>12.01–14.07.2026</x:v>
      </x:c>
      <x:c r="P56" s="18"/>
      <x:c r="Q56" s="18"/>
      <x:c r="R56" s="18"/>
      <x:c r="S56" s="18" t="n">
        <x:v>1</x:v>
      </x:c>
      <x:c r="T56" s="18" t="n">
        <x:v>2</x:v>
      </x:c>
      <x:c r="U56" s="12" t="str">
        <x:v>ОСТАВИТЬ</x:v>
      </x:c>
      <x:c r="V56" s="12" t="str">
        <x:v>CONFIRMED</x:v>
      </x:c>
      <x:c r="W56" s="12" t="str">
        <x:v>Бюджетный маленький формат; заказ 04.08 подтверждал представленность.</x:v>
      </x:c>
      <x:c r="X56" s="12" t="str">
        <x:f>IF(AND(P56="",N56=""),"НЕТ ИСТОРИИ",IF(IF(P56="",N56/6,P56)&gt;=3,"БЫСТРАЯ",IF(IF(P56="",N56/6,P56)&gt;=1.5,"ХОРОШАЯ",IF(IF(P56="",N56/6,P56)&gt;=0.7,"УМЕРЕННАЯ",IF(IF(P56="",N56/6,P56)&gt;0,"МЕДЛЕННАЯ","НЕТ ПРОДАЖ")))))</x:f>
        <x:v>НЕТ ИСТОРИИ</x:v>
      </x:c>
      <x:c r="Y56" s="18" t="str">
        <x:f>IF(OR(T56="",AND(P56="",N56=""),IF(P56="",N56/6,P56)=0),"",T56/IF(P56="",N56/6,P56))</x:f>
      </x:c>
      <x:c r="Z56" s="12" t="str">
        <x:v>ФАКТ / текущий SKU</x:v>
      </x:c>
      <x:c r="AA56" s="12" t="str">
        <x:v>ДА</x:v>
      </x:c>
    </x:row>
    <x:row r="57">
      <x:c r="A57" s="12" t="str">
        <x:v>TRAY-002</x:v>
      </x:c>
      <x:c r="B57" s="12" t="str">
        <x:v>Туалеты и аксессуары</x:v>
      </x:c>
      <x:c r="C57" s="12" t="str">
        <x:v>Открытый комплект</x:v>
      </x:c>
      <x:c r="D57" s="12" t="str">
        <x:v>Кошки</x:v>
      </x:c>
      <x:c r="E57" s="12" t="str">
        <x:v>CORE</x:v>
      </x:c>
      <x:c r="F57" s="12" t="str">
        <x:v>Высокий</x:v>
      </x:c>
      <x:c r="G57" s="12" t="str">
        <x:v>Зооград/Оникиенко</x:v>
      </x:c>
      <x:c r="H57" s="12" t="str">
        <x:v>Сибирская кошка</x:v>
      </x:c>
      <x:c r="I57" s="12" t="str">
        <x:v>25833</x:v>
      </x:c>
      <x:c r="J57" s="12" t="str">
        <x:v>Для любимца: туалет с сеткой + двойная миска + совок</x:v>
      </x:c>
      <x:c r="K57" s="14" t="n">
        <x:v>301.33</x:v>
      </x:c>
      <x:c r="L57" s="12" t="str">
        <x:v>A</x:v>
      </x:c>
      <x:c r="M57" s="12" t="str">
        <x:v>X</x:v>
      </x:c>
      <x:c r="N57" s="16" t="n">
        <x:v>4</x:v>
      </x:c>
      <x:c r="O57" s="12" t="str">
        <x:v>12.01–14.07.2026</x:v>
      </x:c>
      <x:c r="P57" s="18" t="n">
        <x:v>0.7</x:v>
      </x:c>
      <x:c r="Q57" s="18" t="n">
        <x:v>1</x:v>
      </x:c>
      <x:c r="R57" s="18" t="n">
        <x:v>1</x:v>
      </x:c>
      <x:c r="S57" s="18" t="n">
        <x:v>1</x:v>
      </x:c>
      <x:c r="T57" s="18" t="n">
        <x:v>2</x:v>
      </x:c>
      <x:c r="U57" s="12" t="str">
        <x:v>ОСТАВИТЬ</x:v>
      </x:c>
      <x:c r="V57" s="12" t="str">
        <x:v>CONFIRMED</x:v>
      </x:c>
      <x:c r="W57" s="12" t="str">
        <x:v>Функциональный комплект, хороший бюджетный вход.</x:v>
      </x:c>
      <x:c r="X57" s="12" t="str">
        <x:f>IF(AND(P57="",N57=""),"НЕТ ИСТОРИИ",IF(IF(P57="",N57/6,P57)&gt;=3,"БЫСТРАЯ",IF(IF(P57="",N57/6,P57)&gt;=1.5,"ХОРОШАЯ",IF(IF(P57="",N57/6,P57)&gt;=0.7,"УМЕРЕННАЯ",IF(IF(P57="",N57/6,P57)&gt;0,"МЕДЛЕННАЯ","НЕТ ПРОДАЖ")))))</x:f>
        <x:v>УМЕРЕННАЯ</x:v>
      </x:c>
      <x:c r="Y57" s="18" t="n">
        <x:f>IF(OR(T57="",AND(P57="",N57=""),IF(P57="",N57/6,P57)=0),"",T57/IF(P57="",N57/6,P57))</x:f>
        <x:v>2.857142857142857</x:v>
      </x:c>
      <x:c r="Z57" s="12" t="str">
        <x:v>ФАКТ / текущий SKU</x:v>
      </x:c>
      <x:c r="AA57" s="12" t="str">
        <x:v>ДА</x:v>
      </x:c>
    </x:row>
    <x:row r="58">
      <x:c r="A58" s="12" t="str">
        <x:v>TRAY-003</x:v>
      </x:c>
      <x:c r="B58" s="12" t="str">
        <x:v>Туалеты и аксессуары</x:v>
      </x:c>
      <x:c r="C58" s="12" t="str">
        <x:v>Открытый с высокими ножками</x:v>
      </x:c>
      <x:c r="D58" s="12" t="str">
        <x:v>Кошки</x:v>
      </x:c>
      <x:c r="E58" s="12" t="str">
        <x:v>CORE</x:v>
      </x:c>
      <x:c r="F58" s="12" t="str">
        <x:v>Высокий</x:v>
      </x:c>
      <x:c r="G58" s="12" t="str">
        <x:v>Зооград/Оникиенко</x:v>
      </x:c>
      <x:c r="H58" s="12" t="str">
        <x:v>Сибирская кошка</x:v>
      </x:c>
      <x:c r="I58" s="12" t="str">
        <x:v>25784</x:v>
      </x:c>
      <x:c r="J58" s="12" t="str">
        <x:v>Премиум с сеткой, высокие ножки</x:v>
      </x:c>
      <x:c r="K58" s="14" t="n">
        <x:v>286.8</x:v>
      </x:c>
      <x:c r="L58" s="12" t="str">
        <x:v>A</x:v>
      </x:c>
      <x:c r="M58" s="12" t="str">
        <x:v>Y</x:v>
      </x:c>
      <x:c r="N58" s="16" t="n">
        <x:v>6</x:v>
      </x:c>
      <x:c r="O58" s="12" t="str">
        <x:v>12.01–14.07.2026</x:v>
      </x:c>
      <x:c r="P58" s="18" t="n">
        <x:v>1</x:v>
      </x:c>
      <x:c r="Q58" s="18" t="n">
        <x:v>0</x:v>
      </x:c>
      <x:c r="R58" s="18" t="n">
        <x:v>2</x:v>
      </x:c>
      <x:c r="S58" s="18" t="n">
        <x:v>2</x:v>
      </x:c>
      <x:c r="T58" s="18" t="n">
        <x:v>3</x:v>
      </x:c>
      <x:c r="U58" s="12" t="str">
        <x:v>ОСТАВИТЬ</x:v>
      </x:c>
      <x:c r="V58" s="12" t="str">
        <x:v>CONFIRMED</x:v>
      </x:c>
      <x:c r="W58" s="12" t="str">
        <x:v>Функционально отличается от обычного лотка.</x:v>
      </x:c>
      <x:c r="X58" s="12" t="str">
        <x:f>IF(AND(P58="",N58=""),"НЕТ ИСТОРИИ",IF(IF(P58="",N58/6,P58)&gt;=3,"БЫСТРАЯ",IF(IF(P58="",N58/6,P58)&gt;=1.5,"ХОРОШАЯ",IF(IF(P58="",N58/6,P58)&gt;=0.7,"УМЕРЕННАЯ",IF(IF(P58="",N58/6,P58)&gt;0,"МЕДЛЕННАЯ","НЕТ ПРОДАЖ")))))</x:f>
        <x:v>УМЕРЕННАЯ</x:v>
      </x:c>
      <x:c r="Y58" s="18" t="n">
        <x:f>IF(OR(T58="",AND(P58="",N58=""),IF(P58="",N58/6,P58)=0),"",T58/IF(P58="",N58/6,P58))</x:f>
        <x:v>3</x:v>
      </x:c>
      <x:c r="Z58" s="12" t="str">
        <x:v>ФАКТ / текущий SKU</x:v>
      </x:c>
      <x:c r="AA58" s="12" t="str">
        <x:v>ДА</x:v>
      </x:c>
    </x:row>
    <x:row r="59">
      <x:c r="A59" s="12" t="str">
        <x:v>TRAY-004</x:v>
      </x:c>
      <x:c r="B59" s="12" t="str">
        <x:v>Туалеты и аксессуары</x:v>
      </x:c>
      <x:c r="C59" s="12" t="str">
        <x:v>Открытый с бортом/сеткой/совком</x:v>
      </x:c>
      <x:c r="D59" s="12" t="str">
        <x:v>Кошки</x:v>
      </x:c>
      <x:c r="E59" s="12" t="str">
        <x:v>CORE</x:v>
      </x:c>
      <x:c r="F59" s="12" t="str">
        <x:v>Высокий</x:v>
      </x:c>
      <x:c r="G59" s="12" t="str">
        <x:v>Зооград/Оникиенко</x:v>
      </x:c>
      <x:c r="H59" s="12" t="str">
        <x:v>Альтернатива</x:v>
      </x:c>
      <x:c r="I59" s="12" t="str">
        <x:v>М6975</x:v>
      </x:c>
      <x:c r="J59" s="12" t="str">
        <x:v>Лекси с бортом, сеткой и совком 35,5×45,5×15 см</x:v>
      </x:c>
      <x:c r="K59" s="14" t="n">
        <x:v>616.7</x:v>
      </x:c>
      <x:c r="L59" s="12" t="str">
        <x:v>A</x:v>
      </x:c>
      <x:c r="M59" s="12" t="str">
        <x:v>X</x:v>
      </x:c>
      <x:c r="N59" s="16" t="n">
        <x:v>6</x:v>
      </x:c>
      <x:c r="O59" s="12" t="str">
        <x:v>12.01–14.07.2026</x:v>
      </x:c>
      <x:c r="P59" s="18" t="n">
        <x:v>1</x:v>
      </x:c>
      <x:c r="Q59" s="18" t="n">
        <x:v>1</x:v>
      </x:c>
      <x:c r="R59" s="18" t="n">
        <x:v>2</x:v>
      </x:c>
      <x:c r="S59" s="18" t="n">
        <x:v>1</x:v>
      </x:c>
      <x:c r="T59" s="18" t="n">
        <x:v>2</x:v>
      </x:c>
      <x:c r="U59" s="12" t="str">
        <x:v>ОСТАВИТЬ</x:v>
      </x:c>
      <x:c r="V59" s="12" t="str">
        <x:v>CONFIRMED</x:v>
      </x:c>
      <x:c r="W59" s="12" t="str">
        <x:v>Подтверждённые продажи и полноценный комплект.</x:v>
      </x:c>
      <x:c r="X59" s="12" t="str">
        <x:f>IF(AND(P59="",N59=""),"НЕТ ИСТОРИИ",IF(IF(P59="",N59/6,P59)&gt;=3,"БЫСТРАЯ",IF(IF(P59="",N59/6,P59)&gt;=1.5,"ХОРОШАЯ",IF(IF(P59="",N59/6,P59)&gt;=0.7,"УМЕРЕННАЯ",IF(IF(P59="",N59/6,P59)&gt;0,"МЕДЛЕННАЯ","НЕТ ПРОДАЖ")))))</x:f>
        <x:v>УМЕРЕННАЯ</x:v>
      </x:c>
      <x:c r="Y59" s="18" t="n">
        <x:f>IF(OR(T59="",AND(P59="",N59=""),IF(P59="",N59/6,P59)=0),"",T59/IF(P59="",N59/6,P59))</x:f>
        <x:v>2</x:v>
      </x:c>
      <x:c r="Z59" s="12" t="str">
        <x:v>ФАКТ / текущий SKU</x:v>
      </x:c>
      <x:c r="AA59" s="12" t="str">
        <x:v>ДА</x:v>
      </x:c>
    </x:row>
    <x:row r="60">
      <x:c r="A60" s="12" t="str">
        <x:v>TRAY-005</x:v>
      </x:c>
      <x:c r="B60" s="12" t="str">
        <x:v>Туалеты и аксессуары</x:v>
      </x:c>
      <x:c r="C60" s="12" t="str">
        <x:v>Высокие борта / крупный</x:v>
      </x:c>
      <x:c r="D60" s="12" t="str">
        <x:v>Кошки</x:v>
      </x:c>
      <x:c r="E60" s="12" t="str">
        <x:v>OPTIONAL</x:v>
      </x:c>
      <x:c r="F60" s="12" t="str">
        <x:v>Средний</x:v>
      </x:c>
      <x:c r="G60" s="12" t="str">
        <x:v>Зооград/Оникиенко</x:v>
      </x:c>
      <x:c r="H60" s="12" t="str">
        <x:v>Альтернатива</x:v>
      </x:c>
      <x:c r="I60" s="12" t="str">
        <x:v>М8576</x:v>
      </x:c>
      <x:c r="J60" s="12" t="str">
        <x:v>Лоток с высокими бортами, сеткой и совком 39×50,5×23,5 см</x:v>
      </x:c>
      <x:c r="K60" s="14" t="n">
        <x:v>844.6</x:v>
      </x:c>
      <x:c r="L60" s="12" t="str">
        <x:v>B</x:v>
      </x:c>
      <x:c r="M60" s="12" t="str">
        <x:v>Z</x:v>
      </x:c>
      <x:c r="N60" s="16" t="n">
        <x:v>3</x:v>
      </x:c>
      <x:c r="O60" s="12" t="str">
        <x:v>12.01–14.07.2026</x:v>
      </x:c>
      <x:c r="P60" s="18" t="n">
        <x:v>0.5</x:v>
      </x:c>
      <x:c r="Q60" s="18" t="n">
        <x:v>3</x:v>
      </x:c>
      <x:c r="R60" s="18"/>
      <x:c r="S60" s="18" t="n">
        <x:v>1</x:v>
      </x:c>
      <x:c r="T60" s="18" t="n">
        <x:v>1</x:v>
      </x:c>
      <x:c r="U60" s="12" t="str">
        <x:v>ОСТАВИТЬ</x:v>
      </x:c>
      <x:c r="V60" s="12" t="str">
        <x:v>CONFIRMED</x:v>
      </x:c>
      <x:c r="W60" s="12" t="str">
        <x:v>Крупный высокий формат; один фейс.</x:v>
      </x:c>
      <x:c r="X60" s="12" t="str">
        <x:f>IF(AND(P60="",N60=""),"НЕТ ИСТОРИИ",IF(IF(P60="",N60/6,P60)&gt;=3,"БЫСТРАЯ",IF(IF(P60="",N60/6,P60)&gt;=1.5,"ХОРОШАЯ",IF(IF(P60="",N60/6,P60)&gt;=0.7,"УМЕРЕННАЯ",IF(IF(P60="",N60/6,P60)&gt;0,"МЕДЛЕННАЯ","НЕТ ПРОДАЖ")))))</x:f>
        <x:v>МЕДЛЕННАЯ</x:v>
      </x:c>
      <x:c r="Y60" s="18" t="n">
        <x:f>IF(OR(T60="",AND(P60="",N60=""),IF(P60="",N60/6,P60)=0),"",T60/IF(P60="",N60/6,P60))</x:f>
        <x:v>2</x:v>
      </x:c>
      <x:c r="Z60" s="12" t="str">
        <x:v>ФАКТ / текущий SKU</x:v>
      </x:c>
      <x:c r="AA60" s="12" t="str">
        <x:v>ДА</x:v>
      </x:c>
    </x:row>
    <x:row r="61">
      <x:c r="A61" s="12" t="str">
        <x:v>TRAY-006</x:v>
      </x:c>
      <x:c r="B61" s="12" t="str">
        <x:v>Туалеты и аксессуары</x:v>
      </x:c>
      <x:c r="C61" s="12" t="str">
        <x:v>Глубокий</x:v>
      </x:c>
      <x:c r="D61" s="12" t="str">
        <x:v>Кошки</x:v>
      </x:c>
      <x:c r="E61" s="12" t="str">
        <x:v>OPTIONAL</x:v>
      </x:c>
      <x:c r="F61" s="12" t="str">
        <x:v>Средний</x:v>
      </x:c>
      <x:c r="G61" s="12" t="str">
        <x:v>Зооград/Оникиенко</x:v>
      </x:c>
      <x:c r="H61" s="12" t="str">
        <x:v>Сибирская кошка</x:v>
      </x:c>
      <x:c r="I61" s="12" t="str">
        <x:v>00024001</x:v>
      </x:c>
      <x:c r="J61" s="12" t="str">
        <x:v>Евро глубокий с сеткой и бортиком</x:v>
      </x:c>
      <x:c r="K61" s="14" t="n">
        <x:v>420.92</x:v>
      </x:c>
      <x:c r="L61" s="12" t="str">
        <x:v>B</x:v>
      </x:c>
      <x:c r="M61" s="12" t="str">
        <x:v>Y</x:v>
      </x:c>
      <x:c r="N61" s="16" t="n">
        <x:v>2</x:v>
      </x:c>
      <x:c r="O61" s="12" t="str">
        <x:v>12.01–14.07.2026</x:v>
      </x:c>
      <x:c r="P61" s="18" t="n">
        <x:v>0.3</x:v>
      </x:c>
      <x:c r="Q61" s="18" t="n">
        <x:v>0</x:v>
      </x:c>
      <x:c r="R61" s="18"/>
      <x:c r="S61" s="18" t="n">
        <x:v>1</x:v>
      </x:c>
      <x:c r="T61" s="18" t="n">
        <x:v>2</x:v>
      </x:c>
      <x:c r="U61" s="12" t="str">
        <x:v>ОСТАВИТЬ</x:v>
      </x:c>
      <x:c r="V61" s="12" t="str">
        <x:v>CONFIRMED</x:v>
      </x:c>
      <x:c r="W61" s="12" t="str">
        <x:v>Закрывает глубокий формат.</x:v>
      </x:c>
      <x:c r="X61" s="12" t="str">
        <x:f>IF(AND(P61="",N61=""),"НЕТ ИСТОРИИ",IF(IF(P61="",N61/6,P61)&gt;=3,"БЫСТРАЯ",IF(IF(P61="",N61/6,P61)&gt;=1.5,"ХОРОШАЯ",IF(IF(P61="",N61/6,P61)&gt;=0.7,"УМЕРЕННАЯ",IF(IF(P61="",N61/6,P61)&gt;0,"МЕДЛЕННАЯ","НЕТ ПРОДАЖ")))))</x:f>
        <x:v>МЕДЛЕННАЯ</x:v>
      </x:c>
      <x:c r="Y61" s="18" t="n">
        <x:f>IF(OR(T61="",AND(P61="",N61=""),IF(P61="",N61/6,P61)=0),"",T61/IF(P61="",N61/6,P61))</x:f>
        <x:v>6.666666666666667</x:v>
      </x:c>
      <x:c r="Z61" s="12" t="str">
        <x:v>ФАКТ / текущий SKU</x:v>
      </x:c>
      <x:c r="AA61" s="12" t="str">
        <x:v>ДА</x:v>
      </x:c>
    </x:row>
    <x:row r="62">
      <x:c r="A62" s="12" t="str">
        <x:v>TRAY-007</x:v>
      </x:c>
      <x:c r="B62" s="12" t="str">
        <x:v>Туалеты и аксессуары</x:v>
      </x:c>
      <x:c r="C62" s="12" t="str">
        <x:v>Большой открытый</x:v>
      </x:c>
      <x:c r="D62" s="12" t="str">
        <x:v>Кошки</x:v>
      </x:c>
      <x:c r="E62" s="12" t="str">
        <x:v>OPTIONAL</x:v>
      </x:c>
      <x:c r="F62" s="12" t="str">
        <x:v>Средний</x:v>
      </x:c>
      <x:c r="G62" s="12" t="str">
        <x:v>Зооград</x:v>
      </x:c>
      <x:c r="H62" s="12" t="str">
        <x:v>IMAC</x:v>
      </x:c>
      <x:c r="I62" s="12" t="str">
        <x:v>84570</x:v>
      </x:c>
      <x:c r="J62" s="12" t="str">
        <x:v>Felix серый 49,5×39×12 см</x:v>
      </x:c>
      <x:c r="K62" s="14" t="n">
        <x:v>800.4</x:v>
      </x:c>
      <x:c r="L62" s="12" t="str">
        <x:v>B</x:v>
      </x:c>
      <x:c r="M62" s="12" t="str">
        <x:v>Y</x:v>
      </x:c>
      <x:c r="N62" s="16" t="n">
        <x:v>1</x:v>
      </x:c>
      <x:c r="O62" s="12" t="str">
        <x:v>12.01–14.07.2026</x:v>
      </x:c>
      <x:c r="P62" s="18"/>
      <x:c r="Q62" s="18"/>
      <x:c r="R62" s="18"/>
      <x:c r="S62" s="18" t="n">
        <x:v>1</x:v>
      </x:c>
      <x:c r="T62" s="18" t="n">
        <x:v>1</x:v>
      </x:c>
      <x:c r="U62" s="12" t="str">
        <x:v>ОСТАВИТЬ</x:v>
      </x:c>
      <x:c r="V62" s="12" t="str">
        <x:v>CONFIRMED</x:v>
      </x:c>
      <x:c r="W62" s="12" t="str">
        <x:v>Большой открытый формат; не расширять цветами.</x:v>
      </x:c>
      <x:c r="X62" s="12" t="str">
        <x:f>IF(AND(P62="",N62=""),"НЕТ ИСТОРИИ",IF(IF(P62="",N62/6,P62)&gt;=3,"БЫСТРАЯ",IF(IF(P62="",N62/6,P62)&gt;=1.5,"ХОРОШАЯ",IF(IF(P62="",N62/6,P62)&gt;=0.7,"УМЕРЕННАЯ",IF(IF(P62="",N62/6,P62)&gt;0,"МЕДЛЕННАЯ","НЕТ ПРОДАЖ")))))</x:f>
        <x:v>МЕДЛЕННАЯ</x:v>
      </x:c>
      <x:c r="Y62" s="18" t="n">
        <x:f>IF(OR(T62="",AND(P62="",N62=""),IF(P62="",N62/6,P62)=0),"",T62/IF(P62="",N62/6,P62))</x:f>
        <x:v>6</x:v>
      </x:c>
      <x:c r="Z62" s="12" t="str">
        <x:v>ФАКТ / текущий SKU</x:v>
      </x:c>
      <x:c r="AA62" s="12" t="str">
        <x:v>ДА</x:v>
      </x:c>
    </x:row>
    <x:row r="63">
      <x:c r="A63" s="12" t="str">
        <x:v>TRAY-008</x:v>
      </x:c>
      <x:c r="B63" s="12" t="str">
        <x:v>Туалеты и аксессуары</x:v>
      </x:c>
      <x:c r="C63" s="12" t="str">
        <x:v>Угловой</x:v>
      </x:c>
      <x:c r="D63" s="12" t="str">
        <x:v>Кошки</x:v>
      </x:c>
      <x:c r="E63" s="12" t="str">
        <x:v>OPTIONAL</x:v>
      </x:c>
      <x:c r="F63" s="12" t="str">
        <x:v>Низкий</x:v>
      </x:c>
      <x:c r="G63" s="12" t="str">
        <x:v>Зооград</x:v>
      </x:c>
      <x:c r="H63" s="12" t="str">
        <x:v>IMAC</x:v>
      </x:c>
      <x:c r="I63" s="12" t="str">
        <x:v>85486</x:v>
      </x:c>
      <x:c r="J63" s="12" t="str">
        <x:v>Fred угловой с бортом 51×51×15,5 см</x:v>
      </x:c>
      <x:c r="K63" s="14" t="n">
        <x:v>1340.7</x:v>
      </x:c>
      <x:c r="L63" s="12" t="str">
        <x:v>B</x:v>
      </x:c>
      <x:c r="M63" s="12" t="str">
        <x:v>Z</x:v>
      </x:c>
      <x:c r="N63" s="16"/>
      <x:c r="O63" s="12" t="str">
        <x:v>актуальный отчёт</x:v>
      </x:c>
      <x:c r="P63" s="18"/>
      <x:c r="Q63" s="18" t="n">
        <x:v>1</x:v>
      </x:c>
      <x:c r="R63" s="18"/>
      <x:c r="S63" s="18" t="n">
        <x:v>1</x:v>
      </x:c>
      <x:c r="T63" s="18" t="n">
        <x:v>1</x:v>
      </x:c>
      <x:c r="U63" s="12" t="str">
        <x:v>ОСТАВИТЬ ДО РАСПРОДАЖИ</x:v>
      </x:c>
      <x:c r="V63" s="12" t="str">
        <x:v>DECLINING</x:v>
      </x:c>
      <x:c r="W63" s="12" t="str">
        <x:v>Уникальный угловой формат, но наблюдается снижение; не расширять.</x:v>
      </x:c>
      <x:c r="X63" s="12" t="str">
        <x:f>IF(AND(P63="",N63=""),"НЕТ ИСТОРИИ",IF(IF(P63="",N63/6,P63)&gt;=3,"БЫСТРАЯ",IF(IF(P63="",N63/6,P63)&gt;=1.5,"ХОРОШАЯ",IF(IF(P63="",N63/6,P63)&gt;=0.7,"УМЕРЕННАЯ",IF(IF(P63="",N63/6,P63)&gt;0,"МЕДЛЕННАЯ","НЕТ ПРОДАЖ")))))</x:f>
        <x:v>НЕТ ИСТОРИИ</x:v>
      </x:c>
      <x:c r="Y63" s="18" t="str">
        <x:f>IF(OR(T63="",AND(P63="",N63=""),IF(P63="",N63/6,P63)=0),"",T63/IF(P63="",N63/6,P63))</x:f>
      </x:c>
      <x:c r="Z63" s="12" t="str">
        <x:v>ФАКТ / текущий SKU</x:v>
      </x:c>
      <x:c r="AA63" s="12" t="str">
        <x:v>ДА</x:v>
      </x:c>
    </x:row>
    <x:row r="64">
      <x:c r="A64" s="12" t="str">
        <x:v>CLOSED-001</x:v>
      </x:c>
      <x:c r="B64" s="12" t="str">
        <x:v>Туалеты и аксессуары</x:v>
      </x:c>
      <x:c r="C64" s="12" t="str">
        <x:v>Крытый стандарт</x:v>
      </x:c>
      <x:c r="D64" s="12" t="str">
        <x:v>Кошки</x:v>
      </x:c>
      <x:c r="E64" s="12" t="str">
        <x:v>CORE</x:v>
      </x:c>
      <x:c r="F64" s="12" t="str">
        <x:v>Высокий</x:v>
      </x:c>
      <x:c r="G64" s="12" t="str">
        <x:v>Зооград/Оникиенко</x:v>
      </x:c>
      <x:c r="H64" s="12" t="str">
        <x:v>ZooM</x:v>
      </x:c>
      <x:c r="I64" s="12" t="str">
        <x:v>2930сер</x:v>
      </x:c>
      <x:c r="J64" s="12" t="str">
        <x:v>Туалет-домик закрытый серый 50×38×37 см</x:v>
      </x:c>
      <x:c r="K64" s="14" t="n">
        <x:v>1192.46</x:v>
      </x:c>
      <x:c r="L64" s="12" t="str">
        <x:v>A</x:v>
      </x:c>
      <x:c r="M64" s="12" t="str">
        <x:v>Z</x:v>
      </x:c>
      <x:c r="N64" s="16" t="n">
        <x:v>1</x:v>
      </x:c>
      <x:c r="O64" s="12" t="str">
        <x:v>12.01–14.07.2026</x:v>
      </x:c>
      <x:c r="P64" s="18"/>
      <x:c r="Q64" s="18"/>
      <x:c r="R64" s="18"/>
      <x:c r="S64" s="18" t="n">
        <x:v>1</x:v>
      </x:c>
      <x:c r="T64" s="18" t="n">
        <x:v>1</x:v>
      </x:c>
      <x:c r="U64" s="12" t="str">
        <x:v>ОСТАВИТЬ</x:v>
      </x:c>
      <x:c r="V64" s="12" t="str">
        <x:v>CONFIRMED</x:v>
      </x:c>
      <x:c r="W64" s="12" t="str">
        <x:v>Нейтральный цвет; основной доступный крытый туалет. Статус CORE здесь функциональный: позиция нужна для ширины категории, но MAX ограничен из-за умеренной/медленной оборачиваемости.</x:v>
      </x:c>
      <x:c r="X64" s="12" t="str">
        <x:f>IF(AND(P64="",N64=""),"НЕТ ИСТОРИИ",IF(IF(P64="",N64/6,P64)&gt;=3,"БЫСТРАЯ",IF(IF(P64="",N64/6,P64)&gt;=1.5,"ХОРОШАЯ",IF(IF(P64="",N64/6,P64)&gt;=0.7,"УМЕРЕННАЯ",IF(IF(P64="",N64/6,P64)&gt;0,"МЕДЛЕННАЯ","НЕТ ПРОДАЖ")))))</x:f>
        <x:v>МЕДЛЕННАЯ</x:v>
      </x:c>
      <x:c r="Y64" s="18" t="n">
        <x:f>IF(OR(T64="",AND(P64="",N64=""),IF(P64="",N64/6,P64)=0),"",T64/IF(P64="",N64/6,P64))</x:f>
        <x:v>6</x:v>
      </x:c>
      <x:c r="Z64" s="12" t="str">
        <x:v>ФАКТ / текущий SKU</x:v>
      </x:c>
      <x:c r="AA64" s="12" t="str">
        <x:v>ДА</x:v>
      </x:c>
    </x:row>
    <x:row r="65">
      <x:c r="A65" s="12" t="str">
        <x:v>CLOSED-002</x:v>
      </x:c>
      <x:c r="B65" s="12" t="str">
        <x:v>Туалеты и аксессуары</x:v>
      </x:c>
      <x:c r="C65" s="12" t="str">
        <x:v>Крытый стандарт</x:v>
      </x:c>
      <x:c r="D65" s="12" t="str">
        <x:v>Кошки</x:v>
      </x:c>
      <x:c r="E65" s="12" t="str">
        <x:v>OPTIONAL</x:v>
      </x:c>
      <x:c r="F65" s="12" t="str">
        <x:v>Средний</x:v>
      </x:c>
      <x:c r="G65" s="12" t="str">
        <x:v>Зооград/Оникиенко</x:v>
      </x:c>
      <x:c r="H65" s="12" t="str">
        <x:v>ZooM</x:v>
      </x:c>
      <x:c r="I65" s="12" t="str">
        <x:v>2930бирюз-сер</x:v>
      </x:c>
      <x:c r="J65" s="12" t="str">
        <x:v>Туалет-домик закрытый бирюзово-серый 50×38×37 см</x:v>
      </x:c>
      <x:c r="K65" s="14" t="n">
        <x:v>1542</x:v>
      </x:c>
      <x:c r="L65" s="12" t="str">
        <x:v>A</x:v>
      </x:c>
      <x:c r="M65" s="12" t="str">
        <x:v>Y</x:v>
      </x:c>
      <x:c r="N65" s="16" t="n">
        <x:v>2</x:v>
      </x:c>
      <x:c r="O65" s="12" t="str">
        <x:v>12.01–14.07.2026</x:v>
      </x:c>
      <x:c r="P65" s="18" t="n">
        <x:v>0.3</x:v>
      </x:c>
      <x:c r="Q65" s="18" t="n">
        <x:v>0</x:v>
      </x:c>
      <x:c r="R65" s="18"/>
      <x:c r="S65" s="18" t="n">
        <x:v>1</x:v>
      </x:c>
      <x:c r="T65" s="18" t="n">
        <x:v>1</x:v>
      </x:c>
      <x:c r="U65" s="12" t="str">
        <x:v>ОСТАВИТЬ</x:v>
      </x:c>
      <x:c r="V65" s="12" t="str">
        <x:v>CONFIRMED</x:v>
      </x:c>
      <x:c r="W65" s="12" t="str">
        <x:v>Второй цвет только из-за фактических продаж; больше цветов не добавлять.</x:v>
      </x:c>
      <x:c r="X65" s="12" t="str">
        <x:f>IF(AND(P65="",N65=""),"НЕТ ИСТОРИИ",IF(IF(P65="",N65/6,P65)&gt;=3,"БЫСТРАЯ",IF(IF(P65="",N65/6,P65)&gt;=1.5,"ХОРОШАЯ",IF(IF(P65="",N65/6,P65)&gt;=0.7,"УМЕРЕННАЯ",IF(IF(P65="",N65/6,P65)&gt;0,"МЕДЛЕННАЯ","НЕТ ПРОДАЖ")))))</x:f>
        <x:v>МЕДЛЕННАЯ</x:v>
      </x:c>
      <x:c r="Y65" s="18" t="n">
        <x:f>IF(OR(T65="",AND(P65="",N65=""),IF(P65="",N65/6,P65)=0),"",T65/IF(P65="",N65/6,P65))</x:f>
        <x:v>3.3333333333333335</x:v>
      </x:c>
      <x:c r="Z65" s="12" t="str">
        <x:v>ФАКТ / текущий SKU</x:v>
      </x:c>
      <x:c r="AA65" s="12" t="str">
        <x:v>ДА</x:v>
      </x:c>
    </x:row>
    <x:row r="66">
      <x:c r="A66" s="12" t="str">
        <x:v>CLOSED-003</x:v>
      </x:c>
      <x:c r="B66" s="12" t="str">
        <x:v>Туалеты и аксессуары</x:v>
      </x:c>
      <x:c r="C66" s="12" t="str">
        <x:v>Крытый стандарт</x:v>
      </x:c>
      <x:c r="D66" s="12" t="str">
        <x:v>Кошки</x:v>
      </x:c>
      <x:c r="E66" s="12" t="str">
        <x:v>EXIT</x:v>
      </x:c>
      <x:c r="F66" s="12" t="str">
        <x:v>Низкий</x:v>
      </x:c>
      <x:c r="G66" s="12" t="str">
        <x:v>Зооград/Оникиенко</x:v>
      </x:c>
      <x:c r="H66" s="12" t="str">
        <x:v>ZooM</x:v>
      </x:c>
      <x:c r="I66" s="12" t="str">
        <x:v>2930беж-мрамор</x:v>
      </x:c>
      <x:c r="J66" s="12" t="str">
        <x:v>Туалет-домик закрытый бежево-белый 50×38×37 см</x:v>
      </x:c>
      <x:c r="K66" s="14" t="n">
        <x:v>1454.8</x:v>
      </x:c>
      <x:c r="L66" s="12" t="str">
        <x:v>A</x:v>
      </x:c>
      <x:c r="M66" s="12" t="str">
        <x:v>Z</x:v>
      </x:c>
      <x:c r="N66" s="16" t="n">
        <x:v>1</x:v>
      </x:c>
      <x:c r="O66" s="12" t="str">
        <x:v>12.01–14.07.2026</x:v>
      </x:c>
      <x:c r="P66" s="18"/>
      <x:c r="Q66" s="18" t="n">
        <x:v>0</x:v>
      </x:c>
      <x:c r="R66" s="18"/>
      <x:c r="S66" s="18" t="n">
        <x:v>0</x:v>
      </x:c>
      <x:c r="T66" s="18" t="n">
        <x:v>0</x:v>
      </x:c>
      <x:c r="U66" s="12" t="str">
        <x:v>НЕ ПОПОЛНЯТЬ</x:v>
      </x:c>
      <x:c r="V66" s="12" t="str">
        <x:v>COLOR DUPLICATE</x:v>
      </x:c>
      <x:c r="W66" s="12" t="str">
        <x:v>Функциональный дубль 2930сер/2930бирюз-сер.</x:v>
      </x:c>
      <x:c r="X66" s="12" t="str">
        <x:f>IF(AND(P66="",N66=""),"НЕТ ИСТОРИИ",IF(IF(P66="",N66/6,P66)&gt;=3,"БЫСТРАЯ",IF(IF(P66="",N66/6,P66)&gt;=1.5,"ХОРОШАЯ",IF(IF(P66="",N66/6,P66)&gt;=0.7,"УМЕРЕННАЯ",IF(IF(P66="",N66/6,P66)&gt;0,"МЕДЛЕННАЯ","НЕТ ПРОДАЖ")))))</x:f>
        <x:v>МЕДЛЕННАЯ</x:v>
      </x:c>
      <x:c r="Y66" s="18" t="str">
        <x:f>IF(OR(T66="",AND(P66="",N66=""),IF(P66="",N66/6,P66)=0),"",T66/IF(P66="",N66/6,P66))</x:f>
      </x:c>
      <x:c r="Z66" s="12" t="str">
        <x:v>ФАКТ / текущий SKU</x:v>
      </x:c>
      <x:c r="AA66" s="12" t="str">
        <x:v>ДА</x:v>
      </x:c>
    </x:row>
    <x:row r="67">
      <x:c r="A67" s="12" t="str">
        <x:v>NEW-CLOSED-01</x:v>
      </x:c>
      <x:c r="B67" s="12" t="str">
        <x:v>Туалеты и аксессуары</x:v>
      </x:c>
      <x:c r="C67" s="12" t="str">
        <x:v>Крытый средний</x:v>
      </x:c>
      <x:c r="D67" s="12" t="str">
        <x:v>Кошки</x:v>
      </x:c>
      <x:c r="E67" s="12" t="str">
        <x:v>TEST</x:v>
      </x:c>
      <x:c r="F67" s="12" t="str">
        <x:v>Средний</x:v>
      </x:c>
      <x:c r="G67" s="12" t="str">
        <x:v>Валта</x:v>
      </x:c>
      <x:c r="H67" s="12" t="str">
        <x:v>MPS</x:v>
      </x:c>
      <x:c r="I67" s="12" t="str">
        <x:v>MPS071512</x:v>
      </x:c>
      <x:c r="J67" s="12" t="str">
        <x:v>KOMODA 54×39×40 см с совком, оливковый</x:v>
      </x:c>
      <x:c r="K67" s="14" t="n">
        <x:v>1814</x:v>
      </x:c>
      <x:c r="L67" s="12"/>
      <x:c r="M67" s="12"/>
      <x:c r="N67" s="16"/>
      <x:c r="O67" s="12"/>
      <x:c r="P67" s="18"/>
      <x:c r="Q67" s="18"/>
      <x:c r="R67" s="18"/>
      <x:c r="S67" s="18" t="n">
        <x:v>1</x:v>
      </x:c>
      <x:c r="T67" s="18" t="n">
        <x:v>1</x:v>
      </x:c>
      <x:c r="U67" s="12" t="str">
        <x:v>ДОБАВИТЬ TEST</x:v>
      </x:c>
      <x:c r="V67" s="12" t="str">
        <x:v>PRICE 17.08</x:v>
      </x:c>
      <x:c r="W67" s="12" t="str">
        <x:v>Средний ценовой шаг между ZooM и дорогими моделями. Запуск только одним цветом; оценить оборачиваемость 60–90 дней.</x:v>
      </x:c>
      <x:c r="X67" s="12" t="str">
        <x:f>IF(AND(P67="",N67=""),"НЕТ ИСТОРИИ",IF(IF(P67="",N67/6,P67)&gt;=3,"БЫСТРАЯ",IF(IF(P67="",N67/6,P67)&gt;=1.5,"ХОРОШАЯ",IF(IF(P67="",N67/6,P67)&gt;=0.7,"УМЕРЕННАЯ",IF(IF(P67="",N67/6,P67)&gt;0,"МЕДЛЕННАЯ","НЕТ ПРОДАЖ")))))</x:f>
        <x:v>НЕТ ИСТОРИИ</x:v>
      </x:c>
      <x:c r="Y67" s="18" t="str">
        <x:f>IF(OR(T67="",AND(P67="",N67=""),IF(P67="",N67/6,P67)=0),"",T67/IF(P67="",N67/6,P67))</x:f>
      </x:c>
      <x:c r="Z67" s="12" t="str">
        <x:v>СРЕДНЯЯ: крытые туалеты продаются редко, но формат/цена расширяют лестницу; только 1 шт.</x:v>
      </x:c>
      <x:c r="AA67" s="12" t="str">
        <x:v>ДА</x:v>
      </x:c>
    </x:row>
    <x:row r="68">
      <x:c r="A68" s="12" t="str">
        <x:v>NEW-CLOSED-02</x:v>
      </x:c>
      <x:c r="B68" s="12" t="str">
        <x:v>Туалеты и аксессуары</x:v>
      </x:c>
      <x:c r="C68" s="12" t="str">
        <x:v>Крытый верхний вход</x:v>
      </x:c>
      <x:c r="D68" s="12" t="str">
        <x:v>Кошки</x:v>
      </x:c>
      <x:c r="E68" s="12" t="str">
        <x:v>TEST</x:v>
      </x:c>
      <x:c r="F68" s="12" t="str">
        <x:v>Низкий</x:v>
      </x:c>
      <x:c r="G68" s="12" t="str">
        <x:v>Валта</x:v>
      </x:c>
      <x:c r="H68" s="12" t="str">
        <x:v>MPS</x:v>
      </x:c>
      <x:c r="I68" s="12" t="str">
        <x:v>MPS067034</x:v>
      </x:c>
      <x:c r="J68" s="12" t="str">
        <x:v>BUXO OPEN, верхний вход, 58×39×38,5 см, с совком</x:v>
      </x:c>
      <x:c r="K68" s="14" t="n">
        <x:v>3138</x:v>
      </x:c>
      <x:c r="L68" s="12"/>
      <x:c r="M68" s="12"/>
      <x:c r="N68" s="16"/>
      <x:c r="O68" s="12"/>
      <x:c r="P68" s="18"/>
      <x:c r="Q68" s="18"/>
      <x:c r="R68" s="18"/>
      <x:c r="S68" s="18" t="n">
        <x:v>1</x:v>
      </x:c>
      <x:c r="T68" s="18" t="n">
        <x:v>1</x:v>
      </x:c>
      <x:c r="U68" s="12" t="str">
        <x:v>НЕ ВВОДИТЬ СЕЙЧАС</x:v>
      </x:c>
      <x:c r="V68" s="12" t="str">
        <x:v>PRICE 17.08</x:v>
      </x:c>
      <x:c r="W68" s="12" t="str">
        <x:v>Закрывает отдельную конструкцию с верхним входом. Отложить до результатов MPS KOMODA.</x:v>
      </x:c>
      <x:c r="X68" s="12" t="str">
        <x:f>IF(AND(P68="",N68=""),"НЕТ ИСТОРИИ",IF(IF(P68="",N68/6,P68)&gt;=3,"БЫСТРАЯ",IF(IF(P68="",N68/6,P68)&gt;=1.5,"ХОРОШАЯ",IF(IF(P68="",N68/6,P68)&gt;=0.7,"УМЕРЕННАЯ",IF(IF(P68="",N68/6,P68)&gt;0,"МЕДЛЕННАЯ","НЕТ ПРОДАЖ")))))</x:f>
        <x:v>НЕТ ИСТОРИИ</x:v>
      </x:c>
      <x:c r="Y68" s="18" t="str">
        <x:f>IF(OR(T68="",AND(P68="",N68=""),IF(P68="",N68/6,P68)=0),"",T68/IF(P68="",N68/6,P68))</x:f>
      </x:c>
      <x:c r="Z68" s="12" t="str">
        <x:v>НИЗКАЯ: 3 138 ₽ при медленной оборачиваемости крытых туалетов; верхний вход нишевый</x:v>
      </x:c>
      <x:c r="AA68" s="12" t="str">
        <x:v>НЕТ</x:v>
      </x:c>
    </x:row>
    <x:row r="69">
      <x:c r="A69" s="12" t="str">
        <x:v>SCOOP-001</x:v>
      </x:c>
      <x:c r="B69" s="12" t="str">
        <x:v>Туалеты и аксессуары</x:v>
      </x:c>
      <x:c r="C69" s="12" t="str">
        <x:v>Совок базовый</x:v>
      </x:c>
      <x:c r="D69" s="12" t="str">
        <x:v>Кошки</x:v>
      </x:c>
      <x:c r="E69" s="12" t="str">
        <x:v>CORE</x:v>
      </x:c>
      <x:c r="F69" s="12" t="str">
        <x:v>Высокий</x:v>
      </x:c>
      <x:c r="G69" s="12" t="str">
        <x:v>Зооград/Оникиенко</x:v>
      </x:c>
      <x:c r="H69" s="12" t="str">
        <x:v>Альтернатива</x:v>
      </x:c>
      <x:c r="I69" s="12" t="str">
        <x:v>M8195</x:v>
      </x:c>
      <x:c r="J69" s="12" t="str">
        <x:v>Совок бежевый 9,8×24×2,8 см</x:v>
      </x:c>
      <x:c r="K69" s="14" t="n">
        <x:v>42.2</x:v>
      </x:c>
      <x:c r="L69" s="12" t="str">
        <x:v>C</x:v>
      </x:c>
      <x:c r="M69" s="12" t="str">
        <x:v>X</x:v>
      </x:c>
      <x:c r="N69" s="16" t="n">
        <x:v>5</x:v>
      </x:c>
      <x:c r="O69" s="12" t="str">
        <x:v>12.01–14.07.2026</x:v>
      </x:c>
      <x:c r="P69" s="18" t="n">
        <x:v>0.8</x:v>
      </x:c>
      <x:c r="Q69" s="18" t="n">
        <x:v>2</x:v>
      </x:c>
      <x:c r="R69" s="18" t="n">
        <x:v>2</x:v>
      </x:c>
      <x:c r="S69" s="18" t="n">
        <x:v>2</x:v>
      </x:c>
      <x:c r="T69" s="18" t="n">
        <x:v>3</x:v>
      </x:c>
      <x:c r="U69" s="12" t="str">
        <x:v>ОСТАВИТЬ</x:v>
      </x:c>
      <x:c r="V69" s="12" t="str">
        <x:v>CONFIRMED</x:v>
      </x:c>
      <x:c r="W69" s="12" t="str">
        <x:v>Дешёвый основной совок, продажи лучше других простых вариантов.</x:v>
      </x:c>
      <x:c r="X69" s="12" t="str">
        <x:f>IF(AND(P69="",N69=""),"НЕТ ИСТОРИИ",IF(IF(P69="",N69/6,P69)&gt;=3,"БЫСТРАЯ",IF(IF(P69="",N69/6,P69)&gt;=1.5,"ХОРОШАЯ",IF(IF(P69="",N69/6,P69)&gt;=0.7,"УМЕРЕННАЯ",IF(IF(P69="",N69/6,P69)&gt;0,"МЕДЛЕННАЯ","НЕТ ПРОДАЖ")))))</x:f>
        <x:v>УМЕРЕННАЯ</x:v>
      </x:c>
      <x:c r="Y69" s="18" t="n">
        <x:f>IF(OR(T69="",AND(P69="",N69=""),IF(P69="",N69/6,P69)=0),"",T69/IF(P69="",N69/6,P69))</x:f>
        <x:v>3.75</x:v>
      </x:c>
      <x:c r="Z69" s="12" t="str">
        <x:v>ФАКТ / текущий SKU</x:v>
      </x:c>
      <x:c r="AA69" s="12" t="str">
        <x:v>ДА</x:v>
      </x:c>
    </x:row>
    <x:row r="70">
      <x:c r="A70" s="12" t="str">
        <x:v>SCOOP-002</x:v>
      </x:c>
      <x:c r="B70" s="12" t="str">
        <x:v>Туалеты и аксессуары</x:v>
      </x:c>
      <x:c r="C70" s="12" t="str">
        <x:v>Совок улучшенный</x:v>
      </x:c>
      <x:c r="D70" s="12" t="str">
        <x:v>Кошки</x:v>
      </x:c>
      <x:c r="E70" s="12" t="str">
        <x:v>OPTIONAL</x:v>
      </x:c>
      <x:c r="F70" s="12" t="str">
        <x:v>Средний</x:v>
      </x:c>
      <x:c r="G70" s="12" t="str">
        <x:v>Зооград</x:v>
      </x:c>
      <x:c r="H70" s="12" t="str">
        <x:v>ZooOne</x:v>
      </x:c>
      <x:c r="I70" s="12" t="str">
        <x:v>P203-10</x:v>
      </x:c>
      <x:c r="J70" s="12" t="str">
        <x:v>Совок Кэт 24,5×9,2×4,5 см</x:v>
      </x:c>
      <x:c r="K70" s="14" t="n">
        <x:v>104.9</x:v>
      </x:c>
      <x:c r="L70" s="12" t="str">
        <x:v>C</x:v>
      </x:c>
      <x:c r="M70" s="12" t="str">
        <x:v>Y</x:v>
      </x:c>
      <x:c r="N70" s="16" t="n">
        <x:v>1</x:v>
      </x:c>
      <x:c r="O70" s="12" t="str">
        <x:v>12.01–14.07.2026</x:v>
      </x:c>
      <x:c r="P70" s="18"/>
      <x:c r="Q70" s="18" t="n">
        <x:v>2</x:v>
      </x:c>
      <x:c r="R70" s="18"/>
      <x:c r="S70" s="18" t="n">
        <x:v>1</x:v>
      </x:c>
      <x:c r="T70" s="18" t="n">
        <x:v>1</x:v>
      </x:c>
      <x:c r="U70" s="12" t="str">
        <x:v>ОСТАВИТЬ</x:v>
      </x:c>
      <x:c r="V70" s="12" t="str">
        <x:v>CONFIRMED</x:v>
      </x:c>
      <x:c r="W70" s="12" t="str">
        <x:v>Один улучшенный совок; P203-05 как цветовой дубль не нужен.</x:v>
      </x:c>
      <x:c r="X70" s="12" t="str">
        <x:f>IF(AND(P70="",N70=""),"НЕТ ИСТОРИИ",IF(IF(P70="",N70/6,P70)&gt;=3,"БЫСТРАЯ",IF(IF(P70="",N70/6,P70)&gt;=1.5,"ХОРОШАЯ",IF(IF(P70="",N70/6,P70)&gt;=0.7,"УМЕРЕННАЯ",IF(IF(P70="",N70/6,P70)&gt;0,"МЕДЛЕННАЯ","НЕТ ПРОДАЖ")))))</x:f>
        <x:v>МЕДЛЕННАЯ</x:v>
      </x:c>
      <x:c r="Y70" s="18" t="n">
        <x:f>IF(OR(T70="",AND(P70="",N70=""),IF(P70="",N70/6,P70)=0),"",T70/IF(P70="",N70/6,P70))</x:f>
        <x:v>6</x:v>
      </x:c>
      <x:c r="Z70" s="12" t="str">
        <x:v>ФАКТ / текущий SKU</x:v>
      </x:c>
      <x:c r="AA70" s="12" t="str">
        <x:v>ДА</x:v>
      </x:c>
    </x:row>
    <x:row r="71">
      <x:c r="A71" s="12" t="str">
        <x:v>MAT-001</x:v>
      </x:c>
      <x:c r="B71" s="12" t="str">
        <x:v>Туалеты и аксессуары</x:v>
      </x:c>
      <x:c r="C71" s="12" t="str">
        <x:v>Коврик перед туалетом</x:v>
      </x:c>
      <x:c r="D71" s="12" t="str">
        <x:v>Кошки</x:v>
      </x:c>
      <x:c r="E71" s="12" t="str">
        <x:v>TEST</x:v>
      </x:c>
      <x:c r="F71" s="12" t="str">
        <x:v>Средний</x:v>
      </x:c>
      <x:c r="G71" s="12" t="str">
        <x:v>Валта</x:v>
      </x:c>
      <x:c r="H71" s="12" t="str">
        <x:v>IMAC</x:v>
      </x:c>
      <x:c r="I71" s="12" t="str">
        <x:v>ICA300</x:v>
      </x:c>
      <x:c r="J71" s="12" t="str">
        <x:v>Коврик под наполнитель 59×45 см</x:v>
      </x:c>
      <x:c r="K71" s="14" t="n">
        <x:v>613</x:v>
      </x:c>
      <x:c r="L71" s="12"/>
      <x:c r="M71" s="12"/>
      <x:c r="N71" s="16"/>
      <x:c r="O71" s="12"/>
      <x:c r="P71" s="18"/>
      <x:c r="Q71" s="18"/>
      <x:c r="R71" s="18"/>
      <x:c r="S71" s="18" t="n">
        <x:v>1</x:v>
      </x:c>
      <x:c r="T71" s="18" t="n">
        <x:v>1</x:v>
      </x:c>
      <x:c r="U71" s="12" t="str">
        <x:v>ДОБАВИТЬ TEST</x:v>
      </x:c>
      <x:c r="V71" s="12" t="str">
        <x:v>PRICE 17.08</x:v>
      </x:c>
      <x:c r="W71" s="12" t="str">
        <x:v>Закрывает разнос наполнителя по полу. Если за 90 дней нет продажи — не расширять линейку.</x:v>
      </x:c>
      <x:c r="X71" s="12" t="str">
        <x:f>IF(AND(P71="",N71=""),"НЕТ ИСТОРИИ",IF(IF(P71="",N71/6,P71)&gt;=3,"БЫСТРАЯ",IF(IF(P71="",N71/6,P71)&gt;=1.5,"ХОРОШАЯ",IF(IF(P71="",N71/6,P71)&gt;=0.7,"УМЕРЕННАЯ",IF(IF(P71="",N71/6,P71)&gt;0,"МЕДЛЕННАЯ","НЕТ ПРОДАЖ")))))</x:f>
        <x:v>НЕТ ИСТОРИИ</x:v>
      </x:c>
      <x:c r="Y71" s="18" t="str">
        <x:f>IF(OR(T71="",AND(P71="",N71=""),IF(P71="",N71/6,P71)=0),"",T71/IF(P71="",N71/6,P71))</x:f>
      </x:c>
      <x:c r="Z71" s="12" t="str">
        <x:v>СРЕДНЯЯ: отдельная функция, которой почти нет в текущей полке; логичный cross-sell к наполнителю</x:v>
      </x:c>
      <x:c r="AA71" s="12" t="str">
        <x:v>ДА</x:v>
      </x:c>
    </x:row>
    <x:row r="72">
      <x:c r="A72" s="12" t="str">
        <x:v>FILTER-001</x:v>
      </x:c>
      <x:c r="B72" s="12" t="str">
        <x:v>Туалеты и аксессуары</x:v>
      </x:c>
      <x:c r="C72" s="12" t="str">
        <x:v>Угольный фильтр</x:v>
      </x:c>
      <x:c r="D72" s="12" t="str">
        <x:v>Кошки</x:v>
      </x:c>
      <x:c r="E72" s="12" t="str">
        <x:v>TEST</x:v>
      </x:c>
      <x:c r="F72" s="12" t="str">
        <x:v>Низкий</x:v>
      </x:c>
      <x:c r="G72" s="12" t="str">
        <x:v>Валта</x:v>
      </x:c>
      <x:c r="H72" s="12" t="str">
        <x:v>IMAC</x:v>
      </x:c>
      <x:c r="I72" s="12" t="str">
        <x:v>85100</x:v>
      </x:c>
      <x:c r="J72" s="12" t="str">
        <x:v>Угольный фильтр для био-туалетов</x:v>
      </x:c>
      <x:c r="K72" s="14" t="n">
        <x:v>201</x:v>
      </x:c>
      <x:c r="L72" s="12"/>
      <x:c r="M72" s="12"/>
      <x:c r="N72" s="16"/>
      <x:c r="O72" s="12"/>
      <x:c r="P72" s="18"/>
      <x:c r="Q72" s="18"/>
      <x:c r="R72" s="18"/>
      <x:c r="S72" s="18" t="n">
        <x:v>1</x:v>
      </x:c>
      <x:c r="T72" s="18" t="n">
        <x:v>1</x:v>
      </x:c>
      <x:c r="U72" s="12" t="str">
        <x:v>НЕ ВВОДИТЬ СЕЙЧАС</x:v>
      </x:c>
      <x:c r="V72" s="12" t="str">
        <x:v>COMPATIBILITY</x:v>
      </x:c>
      <x:c r="W72" s="12" t="str">
        <x:v>Заводить только если есть совместимый IMAC туалет. Не заводить как самостоятельный SKU до подтверждения совместимости/продаж соответствующей модели.</x:v>
      </x:c>
      <x:c r="X72" s="12" t="str">
        <x:f>IF(AND(P72="",N72=""),"НЕТ ИСТОРИИ",IF(IF(P72="",N72/6,P72)&gt;=3,"БЫСТРАЯ",IF(IF(P72="",N72/6,P72)&gt;=1.5,"ХОРОШАЯ",IF(IF(P72="",N72/6,P72)&gt;=0.7,"УМЕРЕННАЯ",IF(IF(P72="",N72/6,P72)&gt;0,"МЕДЛЕННАЯ","НЕТ ПРОДАЖ")))))</x:f>
        <x:v>НЕТ ИСТОРИИ</x:v>
      </x:c>
      <x:c r="Y72" s="18" t="str">
        <x:f>IF(OR(T72="",AND(P72="",N72=""),IF(P72="",N72/6,P72)=0),"",T72/IF(P72="",N72/6,P72))</x:f>
      </x:c>
      <x:c r="Z72" s="12" t="str">
        <x:v>УСЛОВНАЯ: спрос возможен только при наличии совместимого IMAC туалета</x:v>
      </x:c>
      <x:c r="AA72" s="12" t="str">
        <x:v>НЕТ</x:v>
      </x:c>
    </x:row>
    <x:row r="73">
      <x:c r="A73" s="12" t="str">
        <x:v>WALK-001</x:v>
      </x:c>
      <x:c r="B73" s="12" t="str">
        <x:v>Прогулочная гигиена</x:v>
      </x:c>
      <x:c r="C73" s="12" t="str">
        <x:v>Сменные пакеты</x:v>
      </x:c>
      <x:c r="D73" s="12" t="str">
        <x:v>Собаки</x:v>
      </x:c>
      <x:c r="E73" s="12" t="str">
        <x:v>CORE</x:v>
      </x:c>
      <x:c r="F73" s="12" t="str">
        <x:v>Высокий</x:v>
      </x:c>
      <x:c r="G73" s="12" t="str">
        <x:v>Зооград</x:v>
      </x:c>
      <x:c r="H73" s="12" t="str">
        <x:v>Айда Гулять!</x:v>
      </x:c>
      <x:c r="I73" s="12" t="str">
        <x:v>УТ600000040</x:v>
      </x:c>
      <x:c r="J73" s="12" t="str">
        <x:v>Биоразлагаемые пакеты для выгула, рулон 20 шт</x:v>
      </x:c>
      <x:c r="K73" s="14" t="n">
        <x:v>121.3</x:v>
      </x:c>
      <x:c r="L73" s="12" t="str">
        <x:v>B</x:v>
      </x:c>
      <x:c r="M73" s="12" t="str">
        <x:v>X</x:v>
      </x:c>
      <x:c r="N73" s="16" t="n">
        <x:v>4</x:v>
      </x:c>
      <x:c r="O73" s="12" t="str">
        <x:v>12.01–14.07.2026</x:v>
      </x:c>
      <x:c r="P73" s="18" t="n">
        <x:v>0.7</x:v>
      </x:c>
      <x:c r="Q73" s="18"/>
      <x:c r="R73" s="18"/>
      <x:c r="S73" s="18" t="n">
        <x:v>2</x:v>
      </x:c>
      <x:c r="T73" s="18" t="n">
        <x:v>3</x:v>
      </x:c>
      <x:c r="U73" s="12" t="str">
        <x:v>ОСТАВИТЬ</x:v>
      </x:c>
      <x:c r="V73" s="12" t="str">
        <x:v>CONFIRMED</x:v>
      </x:c>
      <x:c r="W73" s="12" t="str">
        <x:v>Это и есть простой сменный рулон, который пользователь просил оставить обязательно.</x:v>
      </x:c>
      <x:c r="X73" s="12" t="str">
        <x:f>IF(AND(P73="",N73=""),"НЕТ ИСТОРИИ",IF(IF(P73="",N73/6,P73)&gt;=3,"БЫСТРАЯ",IF(IF(P73="",N73/6,P73)&gt;=1.5,"ХОРОШАЯ",IF(IF(P73="",N73/6,P73)&gt;=0.7,"УМЕРЕННАЯ",IF(IF(P73="",N73/6,P73)&gt;0,"МЕДЛЕННАЯ","НЕТ ПРОДАЖ")))))</x:f>
        <x:v>УМЕРЕННАЯ</x:v>
      </x:c>
      <x:c r="Y73" s="18" t="n">
        <x:f>IF(OR(T73="",AND(P73="",N73=""),IF(P73="",N73/6,P73)=0),"",T73/IF(P73="",N73/6,P73))</x:f>
        <x:v>4.285714285714286</x:v>
      </x:c>
      <x:c r="Z73" s="12" t="str">
        <x:v>ФАКТ / текущий SKU</x:v>
      </x:c>
      <x:c r="AA73" s="12" t="str">
        <x:v>ДА</x:v>
      </x:c>
    </x:row>
    <x:row r="74">
      <x:c r="A74" s="12" t="str">
        <x:v>WALK-002</x:v>
      </x:c>
      <x:c r="B74" s="12" t="str">
        <x:v>Прогулочная гигиена</x:v>
      </x:c>
      <x:c r="C74" s="12" t="str">
        <x:v>Диспенсер + рулон</x:v>
      </x:c>
      <x:c r="D74" s="12" t="str">
        <x:v>Собаки</x:v>
      </x:c>
      <x:c r="E74" s="12" t="str">
        <x:v>TEST</x:v>
      </x:c>
      <x:c r="F74" s="12" t="str">
        <x:v>Средний</x:v>
      </x:c>
      <x:c r="G74" s="12" t="str">
        <x:v>Валта</x:v>
      </x:c>
      <x:c r="H74" s="12" t="str">
        <x:v>Mr.Kranch</x:v>
      </x:c>
      <x:c r="I74" s="12" t="str">
        <x:v>MKR543271</x:v>
      </x:c>
      <x:c r="J74" s="12" t="str">
        <x:v>Биодиспенсер со сменным рулоном пакетов</x:v>
      </x:c>
      <x:c r="K74" s="14" t="n">
        <x:v>166</x:v>
      </x:c>
      <x:c r="L74" s="12"/>
      <x:c r="M74" s="12"/>
      <x:c r="N74" s="16"/>
      <x:c r="O74" s="12"/>
      <x:c r="P74" s="18"/>
      <x:c r="Q74" s="18"/>
      <x:c r="R74" s="18"/>
      <x:c r="S74" s="18" t="n">
        <x:v>1</x:v>
      </x:c>
      <x:c r="T74" s="18" t="n">
        <x:v>2</x:v>
      </x:c>
      <x:c r="U74" s="12" t="str">
        <x:v>ДОБАВИТЬ TEST</x:v>
      </x:c>
      <x:c r="V74" s="12" t="str">
        <x:v>PRICE 17.08</x:v>
      </x:c>
      <x:c r="W74" s="12" t="str">
        <x:v>Стартовый комплект; сменные рулоны продаются отдельно. Логичный комплект к уже продающимся сменным пакетам.</x:v>
      </x:c>
      <x:c r="X74" s="12" t="str">
        <x:f>IF(AND(P74="",N74=""),"НЕТ ИСТОРИИ",IF(IF(P74="",N74/6,P74)&gt;=3,"БЫСТРАЯ",IF(IF(P74="",N74/6,P74)&gt;=1.5,"ХОРОШАЯ",IF(IF(P74="",N74/6,P74)&gt;=0.7,"УМЕРЕННАЯ",IF(IF(P74="",N74/6,P74)&gt;0,"МЕДЛЕННАЯ","НЕТ ПРОДАЖ")))))</x:f>
        <x:v>НЕТ ИСТОРИИ</x:v>
      </x:c>
      <x:c r="Y74" s="18" t="str">
        <x:f>IF(OR(T74="",AND(P74="",N74=""),IF(P74="",N74/6,P74)=0),"",T74/IF(P74="",N74/6,P74))</x:f>
      </x:c>
      <x:c r="Z74" s="12" t="str">
        <x:v>СРЕДНЕ-ВЫСОКАЯ: сменные пакеты уже имеют продажи; диспенсер является понятным стартовым товаром</x:v>
      </x:c>
      <x:c r="AA74" s="12" t="str">
        <x:v>ДА</x:v>
      </x:c>
    </x:row>
    <x:row r="75">
      <x:c r="A75" s="12" t="str">
        <x:v>PAD-001</x:v>
      </x:c>
      <x:c r="B75" s="12" t="str">
        <x:v>Пеленки</x:v>
      </x:c>
      <x:c r="C75" s="12" t="str">
        <x:v>33×45 / 50 шт</x:v>
      </x:c>
      <x:c r="D75" s="12" t="str">
        <x:v>Собаки/кошки</x:v>
      </x:c>
      <x:c r="E75" s="12" t="str">
        <x:v>OPTIONAL</x:v>
      </x:c>
      <x:c r="F75" s="12" t="str">
        <x:v>Средний</x:v>
      </x:c>
      <x:c r="G75" s="12" t="str">
        <x:v>Зооград/Оникиенко</x:v>
      </x:c>
      <x:c r="H75" s="12" t="str">
        <x:v>Мистер Напкин</x:v>
      </x:c>
      <x:c r="I75" s="12" t="str"/>
      <x:c r="J75" s="12" t="str">
        <x:v>Пеленки впитывающие 33×45 см, 50 шт</x:v>
      </x:c>
      <x:c r="K75" s="14" t="n">
        <x:v>542.1</x:v>
      </x:c>
      <x:c r="L75" s="12" t="str">
        <x:v>A</x:v>
      </x:c>
      <x:c r="M75" s="12" t="str">
        <x:v>Y</x:v>
      </x:c>
      <x:c r="N75" s="16" t="n">
        <x:v>4</x:v>
      </x:c>
      <x:c r="O75" s="12" t="str">
        <x:v>12.01–14.07.2026</x:v>
      </x:c>
      <x:c r="P75" s="18" t="n">
        <x:v>0.7</x:v>
      </x:c>
      <x:c r="Q75" s="18"/>
      <x:c r="R75" s="18"/>
      <x:c r="S75" s="18" t="n">
        <x:v>1</x:v>
      </x:c>
      <x:c r="T75" s="18" t="n">
        <x:v>2</x:v>
      </x:c>
      <x:c r="U75" s="12" t="str">
        <x:v>ОСТАВИТЬ</x:v>
      </x:c>
      <x:c r="V75" s="12" t="str">
        <x:v>CONFIRMED/ORDER 04.08</x:v>
      </x:c>
      <x:c r="W75" s="12" t="str">
        <x:v>Размерная лестница; 100-шт пачки не включены из-за избыточного объёма и капитала.</x:v>
      </x:c>
      <x:c r="X75" s="12" t="str">
        <x:f>IF(AND(P75="",N75=""),"НЕТ ИСТОРИИ",IF(IF(P75="",N75/6,P75)&gt;=3,"БЫСТРАЯ",IF(IF(P75="",N75/6,P75)&gt;=1.5,"ХОРОШАЯ",IF(IF(P75="",N75/6,P75)&gt;=0.7,"УМЕРЕННАЯ",IF(IF(P75="",N75/6,P75)&gt;0,"МЕДЛЕННАЯ","НЕТ ПРОДАЖ")))))</x:f>
        <x:v>УМЕРЕННАЯ</x:v>
      </x:c>
      <x:c r="Y75" s="18" t="n">
        <x:f>IF(OR(T75="",AND(P75="",N75=""),IF(P75="",N75/6,P75)=0),"",T75/IF(P75="",N75/6,P75))</x:f>
        <x:v>2.857142857142857</x:v>
      </x:c>
      <x:c r="Z75" s="12" t="str">
        <x:v>ФАКТ / текущий SKU</x:v>
      </x:c>
      <x:c r="AA75" s="12" t="str">
        <x:v>ДА</x:v>
      </x:c>
    </x:row>
    <x:row r="76">
      <x:c r="A76" s="12" t="str">
        <x:v>PAD-002</x:v>
      </x:c>
      <x:c r="B76" s="12" t="str">
        <x:v>Пеленки</x:v>
      </x:c>
      <x:c r="C76" s="12" t="str">
        <x:v>45×60 / 15 шт</x:v>
      </x:c>
      <x:c r="D76" s="12" t="str">
        <x:v>Собаки/кошки</x:v>
      </x:c>
      <x:c r="E76" s="12" t="str">
        <x:v>CORE</x:v>
      </x:c>
      <x:c r="F76" s="12" t="str">
        <x:v>Высокий</x:v>
      </x:c>
      <x:c r="G76" s="12" t="str">
        <x:v>Зооград/Оникиенко</x:v>
      </x:c>
      <x:c r="H76" s="12" t="str">
        <x:v>Мистер Напкин</x:v>
      </x:c>
      <x:c r="I76" s="12" t="str"/>
      <x:c r="J76" s="12" t="str">
        <x:v>Пеленки впитывающие 45×60 см, 15 шт</x:v>
      </x:c>
      <x:c r="K76" s="14" t="n">
        <x:v>296.8</x:v>
      </x:c>
      <x:c r="L76" s="12" t="str">
        <x:v>A</x:v>
      </x:c>
      <x:c r="M76" s="12" t="str">
        <x:v>X</x:v>
      </x:c>
      <x:c r="N76" s="16" t="n">
        <x:v>9</x:v>
      </x:c>
      <x:c r="O76" s="12" t="str">
        <x:v>12.01–14.07.2026</x:v>
      </x:c>
      <x:c r="P76" s="18" t="n">
        <x:v>1.5</x:v>
      </x:c>
      <x:c r="Q76" s="18"/>
      <x:c r="R76" s="18"/>
      <x:c r="S76" s="18" t="n">
        <x:v>2</x:v>
      </x:c>
      <x:c r="T76" s="18" t="n">
        <x:v>3</x:v>
      </x:c>
      <x:c r="U76" s="12" t="str">
        <x:v>ОСТАВИТЬ</x:v>
      </x:c>
      <x:c r="V76" s="12" t="str">
        <x:v>CONFIRMED/ORDER 04.08</x:v>
      </x:c>
      <x:c r="W76" s="12" t="str">
        <x:v>Размерная лестница; 100-шт пачки не включены из-за избыточного объёма и капитала.</x:v>
      </x:c>
      <x:c r="X76" s="12" t="str">
        <x:f>IF(AND(P76="",N76=""),"НЕТ ИСТОРИИ",IF(IF(P76="",N76/6,P76)&gt;=3,"БЫСТРАЯ",IF(IF(P76="",N76/6,P76)&gt;=1.5,"ХОРОШАЯ",IF(IF(P76="",N76/6,P76)&gt;=0.7,"УМЕРЕННАЯ",IF(IF(P76="",N76/6,P76)&gt;0,"МЕДЛЕННАЯ","НЕТ ПРОДАЖ")))))</x:f>
        <x:v>ХОРОШАЯ</x:v>
      </x:c>
      <x:c r="Y76" s="18" t="n">
        <x:f>IF(OR(T76="",AND(P76="",N76=""),IF(P76="",N76/6,P76)=0),"",T76/IF(P76="",N76/6,P76))</x:f>
        <x:v>2</x:v>
      </x:c>
      <x:c r="Z76" s="12" t="str">
        <x:v>ФАКТ / текущий SKU</x:v>
      </x:c>
      <x:c r="AA76" s="12" t="str">
        <x:v>ДА</x:v>
      </x:c>
    </x:row>
    <x:row r="77">
      <x:c r="A77" s="12" t="str">
        <x:v>PAD-003</x:v>
      </x:c>
      <x:c r="B77" s="12" t="str">
        <x:v>Пеленки</x:v>
      </x:c>
      <x:c r="C77" s="12" t="str">
        <x:v>45×60 / 1 шт</x:v>
      </x:c>
      <x:c r="D77" s="12" t="str">
        <x:v>Собаки/кошки</x:v>
      </x:c>
      <x:c r="E77" s="12" t="str">
        <x:v>CORE</x:v>
      </x:c>
      <x:c r="F77" s="12" t="str">
        <x:v>Высокий</x:v>
      </x:c>
      <x:c r="G77" s="12" t="str">
        <x:v>Зооград/Оникиенко</x:v>
      </x:c>
      <x:c r="H77" s="12" t="str">
        <x:v>Мистер Напкин</x:v>
      </x:c>
      <x:c r="I77" s="12" t="str"/>
      <x:c r="J77" s="12" t="str">
        <x:v>Пеленки впитывающие 45×60 см, 1 шт</x:v>
      </x:c>
      <x:c r="K77" s="14" t="n">
        <x:v>24.2</x:v>
      </x:c>
      <x:c r="L77" s="12" t="str">
        <x:v>C</x:v>
      </x:c>
      <x:c r="M77" s="12" t="str">
        <x:v>X</x:v>
      </x:c>
      <x:c r="N77" s="16" t="n">
        <x:v>11</x:v>
      </x:c>
      <x:c r="O77" s="12" t="str">
        <x:v>12.01–14.07.2026</x:v>
      </x:c>
      <x:c r="P77" s="18" t="n">
        <x:v>1.8</x:v>
      </x:c>
      <x:c r="Q77" s="18"/>
      <x:c r="R77" s="18"/>
      <x:c r="S77" s="18" t="n">
        <x:v>3</x:v>
      </x:c>
      <x:c r="T77" s="18" t="n">
        <x:v>6</x:v>
      </x:c>
      <x:c r="U77" s="12" t="str">
        <x:v>ОСТАВИТЬ</x:v>
      </x:c>
      <x:c r="V77" s="12" t="str">
        <x:v>CONFIRMED/ORDER 04.08</x:v>
      </x:c>
      <x:c r="W77" s="12" t="str">
        <x:v>Размерная лестница; 100-шт пачки не включены из-за избыточного объёма и капитала.</x:v>
      </x:c>
      <x:c r="X77" s="12" t="str">
        <x:f>IF(AND(P77="",N77=""),"НЕТ ИСТОРИИ",IF(IF(P77="",N77/6,P77)&gt;=3,"БЫСТРАЯ",IF(IF(P77="",N77/6,P77)&gt;=1.5,"ХОРОШАЯ",IF(IF(P77="",N77/6,P77)&gt;=0.7,"УМЕРЕННАЯ",IF(IF(P77="",N77/6,P77)&gt;0,"МЕДЛЕННАЯ","НЕТ ПРОДАЖ")))))</x:f>
        <x:v>ХОРОШАЯ</x:v>
      </x:c>
      <x:c r="Y77" s="18" t="n">
        <x:f>IF(OR(T77="",AND(P77="",N77=""),IF(P77="",N77/6,P77)=0),"",T77/IF(P77="",N77/6,P77))</x:f>
        <x:v>3.333333333333333</x:v>
      </x:c>
      <x:c r="Z77" s="12" t="str">
        <x:v>ФАКТ / текущий SKU</x:v>
      </x:c>
      <x:c r="AA77" s="12" t="str">
        <x:v>ДА</x:v>
      </x:c>
    </x:row>
    <x:row r="78">
      <x:c r="A78" s="12" t="str">
        <x:v>PAD-004</x:v>
      </x:c>
      <x:c r="B78" s="12" t="str">
        <x:v>Пеленки</x:v>
      </x:c>
      <x:c r="C78" s="12" t="str">
        <x:v>45×60 / 50 шт</x:v>
      </x:c>
      <x:c r="D78" s="12" t="str">
        <x:v>Собаки/кошки</x:v>
      </x:c>
      <x:c r="E78" s="12" t="str">
        <x:v>OPTIONAL</x:v>
      </x:c>
      <x:c r="F78" s="12" t="str">
        <x:v>Средний</x:v>
      </x:c>
      <x:c r="G78" s="12" t="str">
        <x:v>Зооград/Оникиенко</x:v>
      </x:c>
      <x:c r="H78" s="12" t="str">
        <x:v>Мистер Напкин</x:v>
      </x:c>
      <x:c r="I78" s="12" t="str"/>
      <x:c r="J78" s="12" t="str">
        <x:v>Пеленки впитывающие 45×60 см, 50 шт</x:v>
      </x:c>
      <x:c r="K78" s="14" t="n">
        <x:v>951</x:v>
      </x:c>
      <x:c r="L78" s="12" t="str">
        <x:v>A</x:v>
      </x:c>
      <x:c r="M78" s="12" t="str">
        <x:v>X</x:v>
      </x:c>
      <x:c r="N78" s="16" t="n">
        <x:v>4</x:v>
      </x:c>
      <x:c r="O78" s="12" t="str">
        <x:v>12.01–14.07.2026</x:v>
      </x:c>
      <x:c r="P78" s="18" t="n">
        <x:v>0.7</x:v>
      </x:c>
      <x:c r="Q78" s="18"/>
      <x:c r="R78" s="18"/>
      <x:c r="S78" s="18" t="n">
        <x:v>1</x:v>
      </x:c>
      <x:c r="T78" s="18" t="n">
        <x:v>2</x:v>
      </x:c>
      <x:c r="U78" s="12" t="str">
        <x:v>ОСТАВИТЬ</x:v>
      </x:c>
      <x:c r="V78" s="12" t="str">
        <x:v>CONFIRMED/ORDER 04.08</x:v>
      </x:c>
      <x:c r="W78" s="12" t="str">
        <x:v>Размерная лестница; 100-шт пачки не включены из-за избыточного объёма и капитала.</x:v>
      </x:c>
      <x:c r="X78" s="12" t="str">
        <x:f>IF(AND(P78="",N78=""),"НЕТ ИСТОРИИ",IF(IF(P78="",N78/6,P78)&gt;=3,"БЫСТРАЯ",IF(IF(P78="",N78/6,P78)&gt;=1.5,"ХОРОШАЯ",IF(IF(P78="",N78/6,P78)&gt;=0.7,"УМЕРЕННАЯ",IF(IF(P78="",N78/6,P78)&gt;0,"МЕДЛЕННАЯ","НЕТ ПРОДАЖ")))))</x:f>
        <x:v>УМЕРЕННАЯ</x:v>
      </x:c>
      <x:c r="Y78" s="18" t="n">
        <x:f>IF(OR(T78="",AND(P78="",N78=""),IF(P78="",N78/6,P78)=0),"",T78/IF(P78="",N78/6,P78))</x:f>
        <x:v>2.857142857142857</x:v>
      </x:c>
      <x:c r="Z78" s="12" t="str">
        <x:v>ФАКТ / текущий SKU</x:v>
      </x:c>
      <x:c r="AA78" s="12" t="str">
        <x:v>ДА</x:v>
      </x:c>
    </x:row>
    <x:row r="79">
      <x:c r="A79" s="12" t="str">
        <x:v>PAD-005</x:v>
      </x:c>
      <x:c r="B79" s="12" t="str">
        <x:v>Пеленки</x:v>
      </x:c>
      <x:c r="C79" s="12" t="str">
        <x:v>60×90 / 15 шт</x:v>
      </x:c>
      <x:c r="D79" s="12" t="str">
        <x:v>Собаки/кошки</x:v>
      </x:c>
      <x:c r="E79" s="12" t="str">
        <x:v>CORE</x:v>
      </x:c>
      <x:c r="F79" s="12" t="str">
        <x:v>Высокий</x:v>
      </x:c>
      <x:c r="G79" s="12" t="str">
        <x:v>Зооград/Оникиенко</x:v>
      </x:c>
      <x:c r="H79" s="12" t="str">
        <x:v>Мистер Напкин</x:v>
      </x:c>
      <x:c r="I79" s="12" t="str"/>
      <x:c r="J79" s="12" t="str">
        <x:v>Пеленки впитывающие 60×90 см, 15 шт</x:v>
      </x:c>
      <x:c r="K79" s="14" t="n">
        <x:v>517.9</x:v>
      </x:c>
      <x:c r="L79" s="12" t="str">
        <x:v>A</x:v>
      </x:c>
      <x:c r="M79" s="12" t="str">
        <x:v>X</x:v>
      </x:c>
      <x:c r="N79" s="16"/>
      <x:c r="O79" s="12" t="str">
        <x:v>12.01–14.07.2026</x:v>
      </x:c>
      <x:c r="P79" s="18"/>
      <x:c r="Q79" s="18"/>
      <x:c r="R79" s="18"/>
      <x:c r="S79" s="18" t="n">
        <x:v>2</x:v>
      </x:c>
      <x:c r="T79" s="18" t="n">
        <x:v>3</x:v>
      </x:c>
      <x:c r="U79" s="12" t="str">
        <x:v>ОСТАВИТЬ</x:v>
      </x:c>
      <x:c r="V79" s="12" t="str">
        <x:v>CONFIRMED/ORDER 04.08</x:v>
      </x:c>
      <x:c r="W79" s="12" t="str">
        <x:v>Размерная лестница; 100-шт пачки не включены из-за избыточного объёма и капитала.</x:v>
      </x:c>
      <x:c r="X79" s="12" t="str">
        <x:f>IF(AND(P79="",N79=""),"НЕТ ИСТОРИИ",IF(IF(P79="",N79/6,P79)&gt;=3,"БЫСТРАЯ",IF(IF(P79="",N79/6,P79)&gt;=1.5,"ХОРОШАЯ",IF(IF(P79="",N79/6,P79)&gt;=0.7,"УМЕРЕННАЯ",IF(IF(P79="",N79/6,P79)&gt;0,"МЕДЛЕННАЯ","НЕТ ПРОДАЖ")))))</x:f>
        <x:v>НЕТ ИСТОРИИ</x:v>
      </x:c>
      <x:c r="Y79" s="18" t="str">
        <x:f>IF(OR(T79="",AND(P79="",N79=""),IF(P79="",N79/6,P79)=0),"",T79/IF(P79="",N79/6,P79))</x:f>
      </x:c>
      <x:c r="Z79" s="12" t="str">
        <x:v>ФАКТ / текущий SKU</x:v>
      </x:c>
      <x:c r="AA79" s="12" t="str">
        <x:v>ДА</x:v>
      </x:c>
    </x:row>
    <x:row r="80">
      <x:c r="A80" s="12" t="str">
        <x:v>PAD-006</x:v>
      </x:c>
      <x:c r="B80" s="12" t="str">
        <x:v>Пеленки</x:v>
      </x:c>
      <x:c r="C80" s="12" t="str">
        <x:v>60×90 / 1 шт</x:v>
      </x:c>
      <x:c r="D80" s="12" t="str">
        <x:v>Собаки/кошки</x:v>
      </x:c>
      <x:c r="E80" s="12" t="str">
        <x:v>CORE</x:v>
      </x:c>
      <x:c r="F80" s="12" t="str">
        <x:v>Высокий</x:v>
      </x:c>
      <x:c r="G80" s="12" t="str">
        <x:v>Зооград/Оникиенко</x:v>
      </x:c>
      <x:c r="H80" s="12" t="str">
        <x:v>Мистер Напкин</x:v>
      </x:c>
      <x:c r="I80" s="12" t="str"/>
      <x:c r="J80" s="12" t="str">
        <x:v>Пеленки впитывающие 60×90 см, 1 шт</x:v>
      </x:c>
      <x:c r="K80" s="14" t="n">
        <x:v>45.4</x:v>
      </x:c>
      <x:c r="L80" s="12"/>
      <x:c r="M80" s="12"/>
      <x:c r="N80" s="16"/>
      <x:c r="O80" s="12" t="str">
        <x:v>12.01–14.07.2026</x:v>
      </x:c>
      <x:c r="P80" s="18"/>
      <x:c r="Q80" s="18"/>
      <x:c r="R80" s="18"/>
      <x:c r="S80" s="18" t="n">
        <x:v>4</x:v>
      </x:c>
      <x:c r="T80" s="18" t="n">
        <x:v>8</x:v>
      </x:c>
      <x:c r="U80" s="12" t="str">
        <x:v>ОСТАВИТЬ</x:v>
      </x:c>
      <x:c r="V80" s="12" t="str">
        <x:v>CONFIRMED/ORDER 04.08</x:v>
      </x:c>
      <x:c r="W80" s="12" t="str">
        <x:v>Размерная лестница; 100-шт пачки не включены из-за избыточного объёма и капитала.</x:v>
      </x:c>
      <x:c r="X80" s="12" t="str">
        <x:f>IF(AND(P80="",N80=""),"НЕТ ИСТОРИИ",IF(IF(P80="",N80/6,P80)&gt;=3,"БЫСТРАЯ",IF(IF(P80="",N80/6,P80)&gt;=1.5,"ХОРОШАЯ",IF(IF(P80="",N80/6,P80)&gt;=0.7,"УМЕРЕННАЯ",IF(IF(P80="",N80/6,P80)&gt;0,"МЕДЛЕННАЯ","НЕТ ПРОДАЖ")))))</x:f>
        <x:v>НЕТ ИСТОРИИ</x:v>
      </x:c>
      <x:c r="Y80" s="18" t="str">
        <x:f>IF(OR(T80="",AND(P80="",N80=""),IF(P80="",N80/6,P80)=0),"",T80/IF(P80="",N80/6,P80))</x:f>
      </x:c>
      <x:c r="Z80" s="12" t="str">
        <x:v>ФАКТ / текущий SKU</x:v>
      </x:c>
      <x:c r="AA80" s="12" t="str">
        <x:v>ДА</x:v>
      </x:c>
    </x:row>
    <x:row r="81">
      <x:c r="A81" s="12" t="str">
        <x:v>ROD-BED-001</x:v>
      </x:c>
      <x:c r="B81" s="12" t="str">
        <x:v>Наполнители</x:v>
      </x:c>
      <x:c r="C81" s="12" t="str">
        <x:v>Кукурузный наполнитель 1,5 кг</x:v>
      </x:c>
      <x:c r="D81" s="12" t="str">
        <x:v>Грызуны/хорьки</x:v>
      </x:c>
      <x:c r="E81" s="12" t="str">
        <x:v>CORE</x:v>
      </x:c>
      <x:c r="F81" s="12" t="str">
        <x:v>Высокий</x:v>
      </x:c>
      <x:c r="G81" s="12" t="str">
        <x:v>Зооград/Оникиенко</x:v>
      </x:c>
      <x:c r="H81" s="12" t="str">
        <x:v>Зверьё моё</x:v>
      </x:c>
      <x:c r="I81" s="12" t="str">
        <x:v>86132</x:v>
      </x:c>
      <x:c r="J81" s="12" t="str">
        <x:v>Наполнитель для грызунов кукурузный, средняя фракция 1,5 кг</x:v>
      </x:c>
      <x:c r="K81" s="12" t="n">
        <x:v>242.1</x:v>
      </x:c>
      <x:c r="L81" s="12" t="str">
        <x:v>A</x:v>
      </x:c>
      <x:c r="M81" s="12" t="str">
        <x:v>X</x:v>
      </x:c>
      <x:c r="N81" s="12" t="n">
        <x:v>15</x:v>
      </x:c>
      <x:c r="O81" s="12" t="str">
        <x:v>12.01–14.07.2026</x:v>
      </x:c>
      <x:c r="P81" s="12" t="n">
        <x:v>2.5</x:v>
      </x:c>
      <x:c r="Q81" s="12" t="n">
        <x:v>2</x:v>
      </x:c>
      <x:c r="R81" s="12" t="n">
        <x:v>4</x:v>
      </x:c>
      <x:c r="S81" s="12" t="n">
        <x:v>3</x:v>
      </x:c>
      <x:c r="T81" s="12" t="n">
        <x:v>5</x:v>
      </x:c>
      <x:c r="U81" s="12" t="str">
        <x:v>ОСТАВИТЬ / ПОПОЛНЯТЬ</x:v>
      </x:c>
      <x:c r="V81" s="12" t="str">
        <x:v>CONFIRMED ZOOGRAD</x:v>
      </x:c>
      <x:c r="W81" s="12" t="str">
        <x:v>Подтверждено 15 продаж за период, A/X, скорость 2,5 шт/мес.; это основной наполнитель для грызунов.</x:v>
      </x:c>
      <x:c r="X81" s="12" t="str">
        <x:v>ХОРОШАЯ</x:v>
      </x:c>
      <x:c r="Y81" s="12" t="n">
        <x:v>2</x:v>
      </x:c>
      <x:c r="Z81" s="12" t="str">
        <x:v>ФАКТ / текущий SKU</x:v>
      </x:c>
      <x:c r="AA81" s="12" t="str">
        <x:v>ДА</x:v>
      </x:c>
    </x:row>
    <x:row r="82">
      <x:c r="A82" s="12" t="str">
        <x:v>ROD-BED-002</x:v>
      </x:c>
      <x:c r="B82" s="12" t="str">
        <x:v>Наполнители</x:v>
      </x:c>
      <x:c r="C82" s="12" t="str">
        <x:v>Опилки 700 г</x:v>
      </x:c>
      <x:c r="D82" s="12" t="str">
        <x:v>Грызуны/хорьки</x:v>
      </x:c>
      <x:c r="E82" s="12" t="str">
        <x:v>CORE</x:v>
      </x:c>
      <x:c r="F82" s="12" t="str">
        <x:v>Высокий</x:v>
      </x:c>
      <x:c r="G82" s="12" t="str">
        <x:v>Зооград/Оникиенко</x:v>
      </x:c>
      <x:c r="H82" s="12" t="str">
        <x:v>Зверьё моё</x:v>
      </x:c>
      <x:c r="I82" s="12" t="str">
        <x:v>86008</x:v>
      </x:c>
      <x:c r="J82" s="12" t="str">
        <x:v>Опилки для грызунов Классик 700 г</x:v>
      </x:c>
      <x:c r="K82" s="12" t="n">
        <x:v>97.2</x:v>
      </x:c>
      <x:c r="L82" s="12" t="str">
        <x:v>B</x:v>
      </x:c>
      <x:c r="M82" s="12" t="str">
        <x:v>X</x:v>
      </x:c>
      <x:c r="N82" s="12" t="n">
        <x:v>12</x:v>
      </x:c>
      <x:c r="O82" s="12" t="str">
        <x:v>12.01–14.07.2026</x:v>
      </x:c>
      <x:c r="P82" s="12" t="n">
        <x:v>2</x:v>
      </x:c>
      <x:c r="Q82" s="12" t="n">
        <x:v>5</x:v>
      </x:c>
      <x:c r="R82" s="12" t="n">
        <x:v>3</x:v>
      </x:c>
      <x:c r="S82" s="12" t="n">
        <x:v>2</x:v>
      </x:c>
      <x:c r="T82" s="12" t="n">
        <x:v>4</x:v>
      </x:c>
      <x:c r="U82" s="12" t="str">
        <x:v>ОСТАВИТЬ / ПОПОЛНЯТЬ</x:v>
      </x:c>
      <x:c r="V82" s="12" t="str">
        <x:v>CONFIRMED ZOOGRAD</x:v>
      </x:c>
      <x:c r="W82" s="12" t="str">
        <x:v>Подтверждено 12 продаж, B/X, скорость 2,0 шт/мес.; дешёвый базовый субстрат.</x:v>
      </x:c>
      <x:c r="X82" s="12" t="str">
        <x:v>ХОРОШАЯ</x:v>
      </x:c>
      <x:c r="Y82" s="12" t="n">
        <x:v>2</x:v>
      </x:c>
      <x:c r="Z82" s="12" t="str">
        <x:v>ФАКТ / текущий SKU</x:v>
      </x:c>
      <x:c r="AA82" s="12" t="str">
        <x:v>ДА</x:v>
      </x:c>
    </x:row>
    <x:row r="83">
      <x:c r="A83" s="12" t="str">
        <x:v>ROD-BED-003</x:v>
      </x:c>
      <x:c r="B83" s="12" t="str">
        <x:v>Наполнители</x:v>
      </x:c>
      <x:c r="C83" s="12" t="str">
        <x:v>Песок для шиншилл</x:v>
      </x:c>
      <x:c r="D83" s="12" t="str">
        <x:v>Шиншиллы</x:v>
      </x:c>
      <x:c r="E83" s="12" t="str">
        <x:v>OPTIONAL</x:v>
      </x:c>
      <x:c r="F83" s="12" t="str">
        <x:v>Средний</x:v>
      </x:c>
      <x:c r="G83" s="12" t="str">
        <x:v>Зооград/Оникиенко</x:v>
      </x:c>
      <x:c r="H83" s="12" t="str">
        <x:v>Вака</x:v>
      </x:c>
      <x:c r="I83" s="12" t="str">
        <x:v>56397</x:v>
      </x:c>
      <x:c r="J83" s="12" t="str">
        <x:v>Наполнитель для шиншилл Песок Чистюля Люкс 1,6 л</x:v>
      </x:c>
      <x:c r="K83" s="12" t="n">
        <x:v>201.1</x:v>
      </x:c>
      <x:c r="L83" s="12" t="str">
        <x:v>C</x:v>
      </x:c>
      <x:c r="M83" s="12" t="str">
        <x:v>C</x:v>
      </x:c>
      <x:c r="N83" s="12"/>
      <x:c r="O83" s="12" t="str">
        <x:v>актуальный ассортимент</x:v>
      </x:c>
      <x:c r="P83" s="12"/>
      <x:c r="Q83" s="12"/>
      <x:c r="R83" s="12"/>
      <x:c r="S83" s="12" t="n">
        <x:v>1</x:v>
      </x:c>
      <x:c r="T83" s="12" t="n">
        <x:v>2</x:v>
      </x:c>
      <x:c r="U83" s="12" t="str">
        <x:v>ОСТАВИТЬ / ДЕРЖАТЬ 1–2</x:v>
      </x:c>
      <x:c r="V83" s="12" t="str">
        <x:v>CONFIRMED ZOOGRAD</x:v>
      </x:c>
      <x:c r="W83" s="12" t="str">
        <x:v>Песок для шиншилл найден в действующем ассортименте Зоограда. Это отдельная обязательная функция, не заменяется опилками.</x:v>
      </x:c>
      <x:c r="X83" s="12" t="str">
        <x:v>НЕТ ДОСТАТОЧНОЙ ИСТОРИИ</x:v>
      </x:c>
      <x:c r="Y83" s="12" t="str"/>
      <x:c r="Z83" s="12" t="str">
        <x:v>ФАКТ / текущий SKU</x:v>
      </x:c>
      <x:c r="AA83" s="12" t="str">
        <x:v>ДА</x:v>
      </x:c>
    </x:row>
    <x:row r="84">
      <x:c r="A84" s="12" t="str">
        <x:v>ROD-BED-004</x:v>
      </x:c>
      <x:c r="B84" s="12" t="str">
        <x:v>Наполнители</x:v>
      </x:c>
      <x:c r="C84" s="12" t="str">
        <x:v>Кукурузный наполнитель 3,5 кг</x:v>
      </x:c>
      <x:c r="D84" s="12" t="str">
        <x:v>Грызуны/хорьки</x:v>
      </x:c>
      <x:c r="E84" s="12" t="str">
        <x:v>OPTIONAL</x:v>
      </x:c>
      <x:c r="F84" s="12" t="str">
        <x:v>Средний</x:v>
      </x:c>
      <x:c r="G84" s="12" t="str">
        <x:v>Зооград/Оникиенко</x:v>
      </x:c>
      <x:c r="H84" s="12" t="str">
        <x:v>Зверьё моё</x:v>
      </x:c>
      <x:c r="I84" s="12" t="str">
        <x:v>86133</x:v>
      </x:c>
      <x:c r="J84" s="12" t="str">
        <x:v>Наполнитель для грызунов кукурузный, средняя фракция 3,5 кг</x:v>
      </x:c>
      <x:c r="K84" s="12" t="n">
        <x:v>501.3</x:v>
      </x:c>
      <x:c r="L84" s="12" t="str">
        <x:v>A</x:v>
      </x:c>
      <x:c r="M84" s="12" t="str">
        <x:v>A</x:v>
      </x:c>
      <x:c r="N84" s="12"/>
      <x:c r="O84" s="12" t="str">
        <x:v>актуальный ассортимент</x:v>
      </x:c>
      <x:c r="P84" s="12"/>
      <x:c r="Q84" s="12"/>
      <x:c r="R84" s="12"/>
      <x:c r="S84" s="12" t="n">
        <x:v>1</x:v>
      </x:c>
      <x:c r="T84" s="12" t="n">
        <x:v>2</x:v>
      </x:c>
      <x:c r="U84" s="12" t="str">
        <x:v>ОСТАВИТЬ КАК БОЛЬШУЮ ФАСОВКУ</x:v>
      </x:c>
      <x:c r="V84" s="12" t="str">
        <x:v>CONFIRMED ZOOGRAD</x:v>
      </x:c>
      <x:c r="W84" s="12" t="str">
        <x:v>Большая фасовка того же ходового кукурузного наполнителя. Не раздувать MAX из-за более высокого чека.</x:v>
      </x:c>
      <x:c r="X84" s="12" t="str">
        <x:v>НЕТ ДОСТАТОЧНОЙ ИСТОРИИ</x:v>
      </x:c>
      <x:c r="Y84" s="12" t="str"/>
      <x:c r="Z84" s="12" t="str">
        <x:v>ФАКТ / текущий SKU</x:v>
      </x:c>
      <x:c r="AA84" s="12" t="str">
        <x:v>ДА</x:v>
      </x:c>
    </x:row>
    <x:row r="85">
      <x:c r="A85" s="12" t="str">
        <x:v>ROD-BED-005</x:v>
      </x:c>
      <x:c r="B85" s="12" t="str">
        <x:v>Наполнители</x:v>
      </x:c>
      <x:c r="C85" s="12" t="str">
        <x:v>Опилки / подстилка 14 л</x:v>
      </x:c>
      <x:c r="D85" s="12" t="str">
        <x:v>Грызуны/хорьки</x:v>
      </x:c>
      <x:c r="E85" s="12" t="str">
        <x:v>OPTIONAL</x:v>
      </x:c>
      <x:c r="F85" s="12" t="str">
        <x:v>Низкий</x:v>
      </x:c>
      <x:c r="G85" s="12" t="str">
        <x:v>Валта</x:v>
      </x:c>
      <x:c r="H85" s="12" t="str">
        <x:v>FIORY</x:v>
      </x:c>
      <x:c r="I85" s="12" t="str">
        <x:v>06740</x:v>
      </x:c>
      <x:c r="J85" s="12" t="str">
        <x:v>FIORY опилки для грызунов Woody 14 л</x:v>
      </x:c>
      <x:c r="K85" s="12" t="n">
        <x:v>344</x:v>
      </x:c>
      <x:c r="L85" s="12" t="str">
        <x:v>C</x:v>
      </x:c>
      <x:c r="M85" s="12" t="str">
        <x:v>Y</x:v>
      </x:c>
      <x:c r="N85" s="12" t="n">
        <x:v>0</x:v>
      </x:c>
      <x:c r="O85" s="12" t="str">
        <x:v>актуальный Валта Min/Max</x:v>
      </x:c>
      <x:c r="P85" s="12" t="n">
        <x:v>0</x:v>
      </x:c>
      <x:c r="Q85" s="12"/>
      <x:c r="R85" s="12" t="n">
        <x:v>1</x:v>
      </x:c>
      <x:c r="S85" s="12" t="n">
        <x:v>0</x:v>
      </x:c>
      <x:c r="T85" s="12" t="n">
        <x:v>1</x:v>
      </x:c>
      <x:c r="U85" s="12" t="str">
        <x:v>НЕ ПОПОЛНЯТЬ ДО ПРОДАЖИ ОСТАТКА</x:v>
      </x:c>
      <x:c r="V85" s="12" t="str">
        <x:v>CONFIRMED VALTA</x:v>
      </x:c>
      <x:c r="W85" s="12" t="str">
        <x:v>Функционально дублирует ходовые опилки 86008, при этом подтверждённых продаж нет. Не держать как обязательный дубль.</x:v>
      </x:c>
      <x:c r="X85" s="12" t="str">
        <x:v>НЕТ ПРОДАЖ</x:v>
      </x:c>
      <x:c r="Y85" s="12" t="str"/>
      <x:c r="Z85" s="12" t="str">
        <x:v>ФАКТ / текущий SKU</x:v>
      </x:c>
      <x:c r="AA85" s="12" t="str">
        <x:v>НЕТ</x:v>
      </x:c>
    </x:row>
    <x:row r="86">
      <x:c r="A86" s="12" t="str">
        <x:v>ROD-BED-006</x:v>
      </x:c>
      <x:c r="B86" s="12" t="str">
        <x:v>Наполнители</x:v>
      </x:c>
      <x:c r="C86" s="12" t="str">
        <x:v>Кукурузный премиальный 5 л</x:v>
      </x:c>
      <x:c r="D86" s="12" t="str">
        <x:v>Грызуны/хорьки</x:v>
      </x:c>
      <x:c r="E86" s="12" t="str">
        <x:v>TEST</x:v>
      </x:c>
      <x:c r="F86" s="12" t="str">
        <x:v>Низкий</x:v>
      </x:c>
      <x:c r="G86" s="12" t="str">
        <x:v>Валта</x:v>
      </x:c>
      <x:c r="H86" s="12" t="str">
        <x:v>FIORY</x:v>
      </x:c>
      <x:c r="I86" s="12" t="str">
        <x:v>06730</x:v>
      </x:c>
      <x:c r="J86" s="12" t="str">
        <x:v>FIORY наполнитель кукурузный Maislitter 5 л</x:v>
      </x:c>
      <x:c r="K86" s="12" t="n">
        <x:v>899</x:v>
      </x:c>
      <x:c r="L86" s="12"/>
      <x:c r="M86" s="12"/>
      <x:c r="N86" s="12"/>
      <x:c r="O86" s="12"/>
      <x:c r="P86" s="12"/>
      <x:c r="Q86" s="12"/>
      <x:c r="R86" s="12"/>
      <x:c r="S86" s="12" t="n">
        <x:v>0</x:v>
      </x:c>
      <x:c r="T86" s="12" t="n">
        <x:v>1</x:v>
      </x:c>
      <x:c r="U86" s="12" t="str">
        <x:v>НЕ ВВОДИТЬ СЕЙЧАС</x:v>
      </x:c>
      <x:c r="V86" s="12" t="str">
        <x:v>PRICE/CASE CONFIRMED</x:v>
      </x:c>
      <x:c r="W86" s="12" t="str">
        <x:v>Уже есть ходовой кукурузный 86132 по 242,10 ₽ и большая фасовка 86133. FIORY 899 ₽ и короб 6 шт. — ненужный дорогой дубль на старте.</x:v>
      </x:c>
      <x:c r="X86" s="12" t="str">
        <x:v>НЕТ ИСТОРИИ</x:v>
      </x:c>
      <x:c r="Y86" s="12" t="str"/>
      <x:c r="Z86" s="12" t="str">
        <x:v>НИЗКАЯ: дорогой дубль уже закрытой функции</x:v>
      </x:c>
      <x:c r="AA86" s="12" t="str">
        <x:v>НЕТ</x:v>
      </x:c>
    </x:row>
  </x:sheetData>
  <x:conditionalFormatting sqref="E2:E80">
    <x:cfRule type="expression" dxfId="0" priority="1">
      <x:formula>E2="CORE"</x:formula>
    </x:cfRule>
    <x:cfRule type="expression" dxfId="1" priority="2">
      <x:formula>E2="OPTIONAL"</x:formula>
    </x:cfRule>
    <x:cfRule type="expression" dxfId="2" priority="3">
      <x:formula>E2="TEST"</x:formula>
    </x:cfRule>
    <x:cfRule type="expression" dxfId="3" priority="4">
      <x:formula>E2="EXIT"</x:formula>
    </x:cfRule>
  </x:conditionalFormatting>
  <x:conditionalFormatting sqref="X2:X80">
    <x:cfRule type="expression" dxfId="4" priority="5">
      <x:formula>X2="БЫСТРАЯ"</x:formula>
    </x:cfRule>
    <x:cfRule type="expression" dxfId="5" priority="6">
      <x:formula>X2="ХОРОШАЯ"</x:formula>
    </x:cfRule>
    <x:cfRule type="expression" dxfId="6" priority="7">
      <x:formula>X2="УМЕРЕННАЯ"</x:formula>
    </x:cfRule>
    <x:cfRule type="expression" dxfId="7" priority="8">
      <x:formula>X2="МЕДЛЕННАЯ"</x:formula>
    </x:cfRule>
  </x:conditionalFormatting>
  <x:conditionalFormatting sqref="AA2:AA80">
    <x:cfRule type="expression" dxfId="8" priority="9">
      <x:formula>LEFT(AA2,2)="ДА"</x:formula>
    </x:cfRule>
    <x:cfRule type="expression" dxfId="9" priority="10">
      <x:formula>AA2="НЕТ"</x:formula>
    </x:cfRule>
  </x:conditionalFormatting>
  <x:conditionalFormatting sqref="E81:E82">
    <x:cfRule type="expression" dxfId="10" priority="11">
      <x:formula>E81="OPTIONAL"</x:formula>
    </x:cfRule>
    <x:cfRule type="expression" dxfId="11" priority="12">
      <x:formula>E81="TEST"</x:formula>
    </x:cfRule>
  </x:conditionalFormatting>
  <x:dataValidations count="3">
    <x:dataValidation type="list" sqref="E2:E80">
      <x:formula1>"CORE,OPTIONAL,TEST,EXIT"</x:formula1>
    </x:dataValidation>
    <x:dataValidation type="list" sqref="E81:E82">
      <x:formula1>"CORE,OPTIONAL,TEST,EXIT"</x:formula1>
    </x:dataValidation>
    <x:dataValidation type="list" sqref="E81:E86">
      <x:formula1>"CORE,OPTIONAL,TEST,EXIT"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7937412c394c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24" t="str">
        <x:v>МИСКА — ТУАЛЕТ / ГИГИЕНА / ПОВЕДЕНИЕ · v2 OWNER REVIEW · 19.08.2026</x:v>
      </x:c>
      <x:c r="B1" s="24" t="str"/>
    </x:row>
    <x:row r="2">
      <x:c r="A2" t="str">
        <x:v>Статус</x:v>
      </x:c>
      <x:c r="B2" t="str">
        <x:v>ГОТОВО К СОГЛАСОВАНИЮ ВЛАДЕЛЬЦЕМ. До команды «утверждаю» не интегрировать в canonical и не передавать Kimi на commit/push.</x:v>
      </x:c>
    </x:row>
    <x:row r="3">
      <x:c r="A3" t="str">
        <x:v>Наполнители</x:v>
      </x:c>
      <x:c r="B3" t="str">
        <x:v>Сохранены все 36 SKU текущего MASTER 12.08 + 6 фактически продающихся Premium Pet. PrettyCat не включён.</x:v>
      </x:c>
    </x:row>
    <x:row r="4">
      <x:c r="A4" t="str">
        <x:v>Новые наполнители</x:v>
      </x:c>
      <x:c r="B4" t="str">
        <x:v>Только функциональные пробелы: кукурузный смываемый SAVANNA, Premium Pet 3D MIX, Premium Pet health-control. Не добавлять новые вкусовые/цветовые дубли.</x:v>
      </x:c>
    </x:row>
    <x:row r="5">
      <x:c r="A5" t="str">
        <x:v>Туалеты</x:v>
      </x:c>
      <x:c r="B5" t="str">
        <x:v>Открытые: бюджетный, комплект, высокие ножки, борт/сетка/совок, высокий/крупный, глубокий, большой, угловой. Крытые: ZooM + 2 TEST MPS.</x:v>
      </x:c>
    </x:row>
    <x:row r="6">
      <x:c r="A6" t="str">
        <x:v>Цвета</x:v>
      </x:c>
      <x:c r="B6" t="str">
        <x:v>Цвет не считается отдельной ассортиментной функцией. Для ZooM закрытых третий цвет отправлен в EXIT.</x:v>
      </x:c>
    </x:row>
    <x:row r="7">
      <x:c r="A7" t="str">
        <x:v>Поведение</x:v>
      </x:c>
      <x:c r="B7" t="str">
        <x:v>Приучение к туалету, отучение гадить, приучение к когтеточке. Дублирующий дорогой Mr.Fresh F407 — EXIT.</x:v>
      </x:c>
    </x:row>
    <x:row r="8">
      <x:c r="A8" t="str">
        <x:v>Запахи</x:v>
      </x:c>
      <x:c r="B8" t="str">
        <x:v>Порошок Mr.Fresh остается; тестируются разные форматы Premium Pet: таблетка, обработка лотка, средство от меток.</x:v>
      </x:c>
    </x:row>
    <x:row r="9">
      <x:c r="A9" t="str">
        <x:v>Прогулка</x:v>
      </x:c>
      <x:c r="B9" t="str">
        <x:v>Оставлен простой сменный рулон 20 пакетов + TEST диспенсер с рулоном.</x:v>
      </x:c>
    </x:row>
    <x:row r="10">
      <x:c r="A10" t="str">
        <x:v>Пеленки</x:v>
      </x:c>
      <x:c r="B10" t="str">
        <x:v>Линейка компактная: 33×45, 45×60, 60×90. Исключены громоздкие 100-шт пачки на старте.</x:v>
      </x:c>
    </x:row>
    <x:row r="11">
      <x:c r="A11" t="str">
        <x:v>UNKNOWN</x:v>
      </x:c>
      <x:c r="B11" t="str">
        <x:v>Пустой/UNKNOWN остаток никогда не трактовать как 0. Никакого автоматического заказа по таким строкам.</x:v>
      </x:c>
    </x:row>
    <x:row r="12">
      <x:c r="A12" t="str">
        <x:v>MIN/MAX</x:v>
      </x:c>
      <x:c r="B12" t="str">
        <x:v>Существующие товары — от истории/MASTER; новые TEST — минимальный запас. Премиальные/дорогие — максимально компактно.</x:v>
      </x:c>
    </x:row>
    <x:row r="13">
      <x:c r="A13" t="str">
        <x:v>PrettyCat</x:v>
      </x:c>
      <x:c r="B13" t="str">
        <x:v>DO NOT ADD. Если есть остатки — распродажа, без пополнения.</x:v>
      </x:c>
    </x:row>
    <x:row r="14">
      <x:c r="A14" t="str">
        <x:v>Следующий шаг</x:v>
      </x:c>
      <x:c r="B14" t="str">
        <x:v>Владелец просматривает этот MASTER. После «утверждаю» Kimi получает точное ТЗ: заменить неполный 9-SKU commit, интегрировать утвержденный MASTER и прогнать тесты. До этого push запрещён.</x:v>
      </x:c>
    </x:row>
    <x:row r="16">
      <x:c r="A16" s="12" t="str">
        <x:v>Класс оборачиваемости</x:v>
      </x:c>
      <x:c r="B16" s="12" t="str">
        <x:v>Считается только по фактической скорости продаж. Это отдельный показатель от CORE/OPTIONAL: функциональный CORE может быть медленным, но держится с MAX=1.</x:v>
      </x:c>
    </x:row>
    <x:row r="17">
      <x:c r="A17" s="12" t="str">
        <x:v>Новые TEST</x:v>
      </x:c>
      <x:c r="B17" s="12" t="str">
        <x:v>Не получают искусственную историю. Для них отдельная колонка «Прогноз продаваемости / уверенность» и флаг «Старт сейчас».</x:v>
      </x:c>
    </x:row>
    <x:row r="18">
      <x:c r="A18" s="12" t="str">
        <x:v>Принцип запуска</x:v>
      </x:c>
      <x:c r="B18" s="12" t="str">
        <x:v>Не запускать одновременно несколько новых SKU одной функции. Сначала 1 минимальный тест, затем 60–90 дней наблюдения.</x:v>
      </x:c>
    </x:row>
    <x:row r="19">
      <x:c r="A19" s="12" t="str">
        <x:v>Риск</x:v>
      </x:c>
      <x:c r="B19" s="12" t="str">
        <x:v>Прогноз нового SKU — это обоснованная гипотеза по аналогам/цене/функции, а не факт продаж.</x:v>
      </x:c>
    </x:row>
    <x:row r="20">
      <x:c r="A20" t="str">
        <x:v>Грызуны</x:v>
      </x:c>
      <x:c r="B20" t="str">
        <x:v>В MASTER добавлены существующие FIORY Woody 14 л и кандидат FIORY Maislitter 5 л. Woody — 1 шт. максимум; Maislitter не запускать коробом 6 без подтверждения поштучной закупки.</x:v>
      </x:c>
    </x:row>
    <x:row r="21">
      <x:c r="A21" t="str">
        <x:v>Птицы</x:v>
      </x:c>
      <x:c r="B21" t="str">
        <x:v>Отдельный песок/подстилка для клетки в доступных прайсах пока не подтверждён. Не придумывать SKU; оставить GAP и проверить Зооград/Оникиенко.</x:v>
      </x:c>
    </x:row>
    <x:row r="22">
      <x:c r="A22" t="str">
        <x:v>Правило</x:v>
      </x:c>
      <x:c r="B22" t="str">
        <x:v>Наполнители/подстилки для грызунов и птиц учитываются в этой же большой матрице, но отдельно по виду животного и не смешиваются с кошачьей оборачиваемостью.</x:v>
      </x:c>
    </x:row>
    <x:row r="23">
      <x:c r="A23" t="str">
        <x:v>Аудит грызунов</x:v>
      </x:c>
      <x:c r="B23" t="str">
        <x:v>Исправлено: в Зоограде уже есть сильные позиции 86132 (15 продаж, 2,5/мес., A/X) и 86008 (12 продаж, 2,0/мес., B/X). Они важнее FIORY и должны быть базой.</x:v>
      </x:c>
    </x:row>
    <x:row r="24">
      <x:c r="A24" t="str">
        <x:v>Шиншиллы</x:v>
      </x:c>
      <x:c r="B24" t="str">
        <x:v>Добавлен подтверждённый песок Вака 56397. Это отдельная функция купания/гигиены и не заменяется обычным наполнителем.</x:v>
      </x:c>
    </x:row>
    <x:row r="25">
      <x:c r="A25" t="str">
        <x:v>Дубли</x:v>
      </x:c>
      <x:c r="B25" t="str">
        <x:v>FIORY Woody не пополнять до продажи остатка; FIORY Maislitter не вводить сейчас — дорогой дубль уже закрытого кукурузного сегмента.</x:v>
      </x:c>
    </x:row>
    <x:row r="26">
      <x:c r="A26" t="str">
        <x:v>Птицы</x:v>
      </x:c>
      <x:c r="B26" t="str">
        <x:v>Птичий гигиенический песок/подстилка остаётся единственным подтверждённым GAP в этом подблоке; конкретного SKU в просмотренных источниках нет.</x:v>
      </x:c>
    </x:row>
    <x:row r="27">
      <x:c r="A27" t="str">
        <x:v>Финальный контроль</x:v>
      </x:c>
      <x:c r="B27" t="str">
        <x:v>Проведён отдельный функциональный аудит: кошки, собаки, грызуны/шиншиллы и птицы. Проверялись не только товарные группы 1С, но и покупательские функции.</x:v>
      </x:c>
    </x:row>
    <x:row r="28">
      <x:c r="A28" t="str">
        <x:v>Что осталось GAP</x:v>
      </x:c>
      <x:c r="B28" t="str">
        <x:v>Птичий субстрат/песок, купалка для птиц, туалет для грызунов, специализированная очистка клеток — конкретные SKU в доступных источниках не подтверждены.</x:v>
      </x:c>
    </x:row>
    <x:row r="29">
      <x:c r="A29" t="str">
        <x:v>Критерий финальности</x:v>
      </x:c>
      <x:c r="B29" t="str">
        <x:v>Матрица может быть утверждена с этими GAP: они не должны заполняться выдуманными SKU. После появления свежего прайса Зоограда можно точечно дополнить TEST-позициями.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</x:cols>
  <x:sheetData>
    <x:row r="1">
      <x:c r="A1" s="28" t="str">
        <x:v>Параметр</x:v>
      </x:c>
      <x:c r="B1" s="28" t="str">
        <x:v>Значение</x:v>
      </x:c>
    </x:row>
    <x:row r="2">
      <x:c r="A2" t="str">
        <x:v>Дата версии</x:v>
      </x:c>
      <x:c r="B2" t="str">
        <x:v>19.08.2026</x:v>
      </x:c>
    </x:row>
    <x:row r="3">
      <x:c r="A3" t="str">
        <x:v>Статус</x:v>
      </x:c>
      <x:c r="B3" t="str">
        <x:v>ПОЛНЫЙ АУДИТ — READY FOR OWNER APPROVAL</x:v>
      </x:c>
    </x:row>
    <x:row r="4">
      <x:c r="A4" t="str">
        <x:v>PrettyCat</x:v>
      </x:c>
      <x:c r="B4" t="str">
        <x:v>DO NOT ADD</x:v>
      </x:c>
    </x:row>
    <x:row r="5">
      <x:c r="A5" t="str">
        <x:v>Новый SKU</x:v>
      </x:c>
      <x:c r="B5" t="str">
        <x:v>TEST</x:v>
      </x:c>
    </x:row>
    <x:row r="6">
      <x:c r="A6" t="str">
        <x:v>TEST базовый MIN</x:v>
      </x:c>
      <x:c r="B6" t="str">
        <x:v>1</x:v>
      </x:c>
    </x:row>
    <x:row r="7">
      <x:c r="A7" t="str">
        <x:v>TEST базовый MAX</x:v>
      </x:c>
      <x:c r="B7" t="str">
        <x:v>1–2</x:v>
      </x:c>
    </x:row>
    <x:row r="8">
      <x:c r="A8" t="str">
        <x:v>UNKNOWN/null stock</x:v>
      </x:c>
      <x:c r="B8" t="str">
        <x:v>OWNER_ACTION_REQUIRED; не 0</x:v>
      </x:c>
    </x:row>
    <x:row r="9">
      <x:c r="A9" t="str">
        <x:v>Цветовые дубли</x:v>
      </x:c>
      <x:c r="B9" t="str">
        <x:v>Не считать ассортиментной шириной</x:v>
      </x:c>
    </x:row>
    <x:row r="10">
      <x:c r="A10" t="str">
        <x:v>Крытые туалеты</x:v>
      </x:c>
      <x:c r="B10" t="str">
        <x:v>Не более 1–2 цветов одной модели</x:v>
      </x:c>
    </x:row>
    <x:row r="11">
      <x:c r="A11" t="str">
        <x:v>Push e25641e</x:v>
      </x:c>
      <x:c r="B11" t="str">
        <x:v>ЗАПРЕЩЕН до утверждения v2</x:v>
      </x:c>
    </x:row>
    <x:row r="12">
      <x:c r="A12" s="12" t="str">
        <x:v>Правило оборачиваемости</x:v>
      </x:c>
      <x:c r="B12" s="12" t="str">
        <x:v>По нормализованной скорости, шт/мес</x:v>
      </x:c>
    </x:row>
    <x:row r="13">
      <x:c r="A13" s="12" t="str">
        <x:v>БЫСТРАЯ</x:v>
      </x:c>
      <x:c r="B13" s="12" t="str">
        <x:v>≥ 3,0 шт/мес</x:v>
      </x:c>
    </x:row>
    <x:row r="14">
      <x:c r="A14" s="12" t="str">
        <x:v>ХОРОШАЯ</x:v>
      </x:c>
      <x:c r="B14" s="12" t="str">
        <x:v>1,5–2,99 шт/мес</x:v>
      </x:c>
    </x:row>
    <x:row r="15">
      <x:c r="A15" s="12" t="str">
        <x:v>УМЕРЕННАЯ</x:v>
      </x:c>
      <x:c r="B15" s="12" t="str">
        <x:v>0,7–1,49 шт/мес</x:v>
      </x:c>
    </x:row>
    <x:row r="16">
      <x:c r="A16" s="12" t="str">
        <x:v>МЕДЛЕННАЯ</x:v>
      </x:c>
      <x:c r="B16" s="12" t="str">
        <x:v>&gt;0 и &lt;0,7 шт/мес</x:v>
      </x:c>
    </x:row>
    <x:row r="17">
      <x:c r="A17" s="12" t="str">
        <x:v>НЕТ ИСТОРИИ</x:v>
      </x:c>
      <x:c r="B17" s="12" t="str">
        <x:v>Новый SKU или данные не подтверждены</x:v>
      </x:c>
    </x:row>
    <x:row r="18">
      <x:c r="A18" t="str">
        <x:v>Fallback скорости</x:v>
      </x:c>
      <x:c r="B18" t="str">
        <x:v>Если в источнике есть продажи за ~180 дней, но колонка скорости пуста, для АУДИТА используется Продано/6. Это не заменяет исходный Min/Max в canonical.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85" hidden="0" customWidth="1"/>
    <x:col min="4" max="4" width="22" hidden="0" customWidth="1"/>
  </x:cols>
  <x:sheetData>
    <x:row r="1">
      <x:c r="A1" s="32" t="str">
        <x:v>Приоритет</x:v>
      </x:c>
      <x:c r="B1" s="32" t="str">
        <x:v>Позиция</x:v>
      </x:c>
      <x:c r="C1" s="32" t="str">
        <x:v>Что проверить после утверждения</x:v>
      </x:c>
      <x:c r="D1" s="32" t="str">
        <x:v>Блокирует Owner Review?</x:v>
      </x:c>
    </x:row>
    <x:row r="2">
      <x:c r="A2" t="str">
        <x:v>HIGH</x:v>
      </x:c>
      <x:c r="B2" t="str">
        <x:v>SAVANNA FILL-019…035</x:v>
      </x:c>
      <x:c r="C2" t="str">
        <x:v>Привязать реальные артикулы 1С к прайс SKU; сейчас в старом MASTER статус CHECK.</x:v>
      </x:c>
      <x:c r="D2" t="str">
        <x:v>НЕТ</x:v>
      </x:c>
    </x:row>
    <x:row r="3">
      <x:c r="A3" t="str">
        <x:v>HIGH</x:v>
      </x:c>
      <x:c r="B3" t="str">
        <x:v>Mr.Fresh порошок 500 г</x:v>
      </x:c>
      <x:c r="C3" t="str">
        <x:v>Источник не содержит артикул. Сопоставлять по имени/поставщику, не придумывать SKU.</x:v>
      </x:c>
      <x:c r="D3" t="str">
        <x:v>НЕТ</x:v>
      </x:c>
    </x:row>
    <x:row r="4">
      <x:c r="A4" t="str">
        <x:v>HIGH</x:v>
      </x:c>
      <x:c r="B4" t="str">
        <x:v>Premium Pet текущие 6 наполнителей</x:v>
      </x:c>
      <x:c r="C4" t="str">
        <x:v>Перед реальным заказом подтянуть актуальную закупочную цену/кратность из прайса 08.2026.</x:v>
      </x:c>
      <x:c r="D4" t="str">
        <x:v>НЕТ</x:v>
      </x:c>
    </x:row>
    <x:row r="5">
      <x:c r="A5" t="str">
        <x:v>MEDIUM</x:v>
      </x:c>
      <x:c r="B5" t="str">
        <x:v>IMAC фильтр 85100</x:v>
      </x:c>
      <x:c r="C5" t="str">
        <x:v>Проверить совместимость с фактическими моделями туалетов в Миске.</x:v>
      </x:c>
      <x:c r="D5" t="str">
        <x:v>НЕТ</x:v>
      </x:c>
    </x:row>
    <x:row r="6">
      <x:c r="A6" t="str">
        <x:v>MEDIUM</x:v>
      </x:c>
      <x:c r="B6" t="str">
        <x:v>TRAY-008 IMAC Fred</x:v>
      </x:c>
      <x:c r="C6" t="str">
        <x:v>После следующего Min/Max решить: оставить угловой формат или вывести из-за снижения.</x:v>
      </x:c>
      <x:c r="D6" t="str">
        <x:v>НЕТ</x:v>
      </x:c>
    </x:row>
    <x:row r="7">
      <x:c r="A7" t="str">
        <x:v>MEDIUM</x:v>
      </x:c>
      <x:c r="B7" t="str">
        <x:v>Пеленки 60×90</x:v>
      </x:c>
      <x:c r="C7" t="str">
        <x:v>Подтянуть точные продажи/остатки последнего Min/Max; ассортиментная роль уже определена.</x:v>
      </x:c>
      <x:c r="D7" t="str">
        <x:v>НЕТ</x:v>
      </x:c>
    </x:row>
    <x:row r="8">
      <x:c r="A8" t="str">
        <x:v>LOW</x:v>
      </x:c>
      <x:c r="B8" t="str">
        <x:v>Крытые MPS TEST</x:v>
      </x:c>
      <x:c r="C8" t="str">
        <x:v>После 1–2 циклов продаж решить, какой из двух оставить постоянным.</x:v>
      </x:c>
      <x:c r="D8" t="str">
        <x:v>НЕТ</x:v>
      </x:c>
    </x:row>
    <x:row r="9">
      <x:c r="A9" t="str">
        <x:v>INFO</x:v>
      </x:c>
      <x:c r="B9" t="str">
        <x:v>NEW-FILL-03 914505</x:v>
      </x:c>
      <x:c r="C9" t="str">
        <x:v>Не стартовать: пересечение с текущим Premium Pet 730204.</x:v>
      </x:c>
      <x:c r="D9" t="str">
        <x:v>НЕТ</x:v>
      </x:c>
    </x:row>
    <x:row r="10">
      <x:c r="A10" t="str">
        <x:v>INFO</x:v>
      </x:c>
      <x:c r="B10" t="str">
        <x:v>ODOR-003 / ODOR-004</x:v>
      </x:c>
      <x:c r="C10" t="str">
        <x:v>Не стартовать одновременно с ODOR-002; сначала проверить один новый формат.</x:v>
      </x:c>
      <x:c r="D10" t="str">
        <x:v>НЕТ</x:v>
      </x:c>
    </x:row>
    <x:row r="11">
      <x:c r="A11" t="str">
        <x:v>INFO</x:v>
      </x:c>
      <x:c r="B11" t="str">
        <x:v>NEW-CLOSED-02 BUXO</x:v>
      </x:c>
      <x:c r="C11" t="str">
        <x:v>Отложить: дорогой и нишевый при медленной оборачиваемости крытых туалетов.</x:v>
      </x:c>
      <x:c r="D11" t="str">
        <x:v>НЕТ</x:v>
      </x:c>
    </x:row>
    <x:row r="12">
      <x:c r="A12" t="str">
        <x:v>INFO</x:v>
      </x:c>
      <x:c r="B12" t="str">
        <x:v>FILTER-001</x:v>
      </x:c>
      <x:c r="C12" t="str">
        <x:v>Отложить до подтверждения совместимой IMAC модели.</x:v>
      </x:c>
      <x:c r="D12" t="str">
        <x:v>НЕТ</x:v>
      </x:c>
    </x:row>
    <x:row r="13">
      <x:c r="A13" t="str">
        <x:v>INFO</x:v>
      </x:c>
      <x:c r="B13" t="str">
        <x:v>Критерий нового TEST</x:v>
      </x:c>
      <x:c r="C13" t="str">
        <x:v>Запуск только 1 шт. (или 1–2 для дешёвого расходника), оценка 60–90 дней.</x:v>
      </x:c>
      <x:c r="D13" t="str">
        <x:v>НЕТ</x:v>
      </x:c>
    </x:row>
    <x:row r="14">
      <x:c r="A14" t="str">
        <x:v>HIGH</x:v>
      </x:c>
      <x:c r="B14" t="str">
        <x:v>Подстилка/песок для птиц</x:v>
      </x:c>
      <x:c r="C14" t="str">
        <x:v>В доступном прайсе Валты раздел «Лакомства, песок, добавки» есть, но отдельный песок/подстилка для птиц не найден. Premium Pet также не подтвердил такой SKU. Проверить актуальный прайс Зоограда/Оникиенко перед интеграцией.</x:v>
      </x:c>
      <x:c r="D14" t="str">
        <x:v>НЕТ</x:v>
      </x:c>
    </x:row>
    <x:row r="15">
      <x:c r="A15" t="str">
        <x:v>INFO</x:v>
      </x:c>
      <x:c r="B15" t="str">
        <x:v>Грызуны — FIORY Maislitter 06730</x:v>
      </x:c>
      <x:c r="C15" t="str">
        <x:v>Не запускать короб 6 шт. без подтверждения возможности поштучного заказа; если только короб — оставить кандидатом, не активным TEST.</x:v>
      </x:c>
      <x:c r="D15" t="str">
        <x:v>НЕТ</x:v>
      </x:c>
    </x:row>
    <x:row r="16">
      <x:c r="A16" t="str">
        <x:v>INFO</x:v>
      </x:c>
      <x:c r="B16" t="str">
        <x:v>Сено 86010 Зверьё моё 600 г</x:v>
      </x:c>
      <x:c r="C16" t="str">
        <x:v>Есть продажи (9 за период), но это кормовой/фуражный товар. Не смешивать с матрицей туалета/гигиены; перенести в будущую матрицу грызунов.</x:v>
      </x:c>
      <x:c r="D16" t="str">
        <x:v>НЕТ</x:v>
      </x:c>
    </x:row>
    <x:row r="17">
      <x:c r="A17" t="str">
        <x:v>INFO</x:v>
      </x:c>
      <x:c r="B17" t="str">
        <x:v>Песок для шиншилл 56397</x:v>
      </x:c>
      <x:c r="C17" t="str">
        <x:v>Найден у Зоограда/Оникиенко и добавлен в MASTER как отдельная функция.</x:v>
      </x:c>
      <x:c r="D17" t="str">
        <x:v>НЕТ</x:v>
      </x:c>
    </x:row>
    <x:row r="18">
      <x:c r="A18" t="str">
        <x:v>HIGH</x:v>
      </x:c>
      <x:c r="B18" t="str">
        <x:v>Песок/субстрат для птиц</x:v>
      </x:c>
      <x:c r="C18" t="str">
        <x:v>В просмотренном заказе Зоограда птицы представлены кормами, лакомствами, кормушками и поилками, но отдельный гигиенический песок/подстилка не подтверждён. Не выдумывать SKU; искать в свежем прайсе поставщика.</x:v>
      </x:c>
      <x:c r="D18" t="str">
        <x:v>НЕТ</x:v>
      </x:c>
    </x:row>
    <x:row r="19">
      <x:c r="A19" t="str">
        <x:v>INFO</x:v>
      </x:c>
      <x:c r="B19" t="str">
        <x:v>Купалка/ванночка для птиц</x:v>
      </x:c>
      <x:c r="C19" t="str">
        <x:v>В текущих проверенных источниках SKU не найден. Проверить свежий прайс Зооград/Оникиенко; не выдумывать позицию.</x:v>
      </x:c>
      <x:c r="D19" t="str">
        <x:v>НЕТ</x:v>
      </x:c>
    </x:row>
    <x:row r="20">
      <x:c r="A20" t="str">
        <x:v>INFO</x:v>
      </x:c>
      <x:c r="B20" t="str">
        <x:v>Туалет/угловой лоток для грызунов</x:v>
      </x:c>
      <x:c r="C20" t="str">
        <x:v>В текущих проверенных источниках SKU не найден. Рассматривать только если есть поставщик, цена и понятный спрос.</x:v>
      </x:c>
      <x:c r="D20" t="str">
        <x:v>НЕТ</x:v>
      </x:c>
    </x:row>
    <x:row r="21">
      <x:c r="A21" t="str">
        <x:v>INFO</x:v>
      </x:c>
      <x:c r="B21" t="str">
        <x:v>Средство для очистки клеток</x:v>
      </x:c>
      <x:c r="C21" t="str">
        <x:v>Специализированный SKU не подтверждён. Общие очистители дома не включать в эту матрицу автоматически.</x:v>
      </x:c>
      <x:c r="D21" t="str">
        <x:v>НЕТ</x:v>
      </x:c>
    </x:row>
    <x:row r="22">
      <x:c r="A22" t="str">
        <x:v>INFO</x:v>
      </x:c>
      <x:c r="B22" t="str">
        <x:v>Финальный функциональный аудит</x:v>
      </x:c>
      <x:c r="C22" t="str">
        <x:v>По проверенным источникам других подтверждённых гигиенических SKU, которые обязательно должны войти в эту матрицу, не найдено.</x:v>
      </x:c>
      <x:c r="D22" t="str">
        <x:v>НЕТ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2" hidden="0" customWidth="1"/>
    <x:col min="4" max="4" width="32" hidden="0" customWidth="1"/>
    <x:col min="5" max="5" width="70" hidden="0" customWidth="1"/>
    <x:col min="7" max="7" width="32" hidden="0" customWidth="1"/>
    <x:col min="8" max="8" width="22" hidden="0" customWidth="1"/>
    <x:col min="10" max="10" width="38" hidden="0" customWidth="1"/>
    <x:col min="11" max="11" width="26" hidden="0" customWidth="1"/>
    <x:col min="12" max="12" width="90" hidden="0" customWidth="1"/>
  </x:cols>
  <x:sheetData>
    <x:row r="1">
      <x:c r="A1" s="28" t="str">
        <x:v>Показатель</x:v>
      </x:c>
      <x:c r="B1" s="28" t="str">
        <x:v>Значение</x:v>
      </x:c>
      <x:c r="D1" s="30" t="str">
        <x:v>Блок</x:v>
      </x:c>
      <x:c r="E1" s="30" t="str">
        <x:v>SKU</x:v>
      </x:c>
      <x:c r="J1" s="48" t="str">
        <x:v>КОНТРОЛЬ ПОЛНОТЫ</x:v>
      </x:c>
      <x:c r="K1" s="48" t="str">
        <x:v>Статус</x:v>
      </x:c>
      <x:c r="L1" s="48" t="str">
        <x:v>Комментарий</x:v>
      </x:c>
    </x:row>
    <x:row r="2">
      <x:c r="A2" t="str">
        <x:v>Всего строк MASTER</x:v>
      </x:c>
      <x:c r="B2" t="n">
        <x:f>COUNTA(MASTER!A2:A86)</x:f>
        <x:v>85</x:v>
      </x:c>
      <x:c r="D2" t="str">
        <x:v>Наполнители</x:v>
      </x:c>
      <x:c r="E2" t="n">
        <x:f>COUNTIF(MASTER!B2:B80,D2)</x:f>
        <x:v>45</x:v>
      </x:c>
      <x:c r="J2" s="12" t="str">
        <x:v>Кошачьи наполнители</x:v>
      </x:c>
      <x:c r="K2" s="12" t="str">
        <x:v>COVERED</x:v>
      </x:c>
      <x:c r="L2" s="12" t="str">
        <x:v>Cat's Choice + Сибирская кошка + SAVANNA + действующие Premium Pet; PrettyCat исключён по решению владельца.</x:v>
      </x:c>
    </x:row>
    <x:row r="3">
      <x:c r="A3" t="str">
        <x:v>CORE</x:v>
      </x:c>
      <x:c r="B3" t="n">
        <x:f>COUNTIF(MASTER!E2:E86,"CORE")</x:f>
        <x:v>45</x:v>
      </x:c>
      <x:c r="D3" t="str">
        <x:v>Поведение и запах</x:v>
      </x:c>
      <x:c r="E3" t="n">
        <x:f>COUNTIF(MASTER!B2:B80,D3)</x:f>
        <x:v>9</x:v>
      </x:c>
      <x:c r="J3" s="12" t="str">
        <x:v>Новые типы наполнителей</x:v>
      </x:c>
      <x:c r="K3" s="12" t="str">
        <x:v>COVERED</x:v>
      </x:c>
      <x:c r="L3" s="12" t="str">
        <x:v>Только функционально отличающиеся TEST; дубли ароматов/цветов не добавляются.</x:v>
      </x:c>
    </x:row>
    <x:row r="4">
      <x:c r="A4" t="str">
        <x:v>OPTIONAL</x:v>
      </x:c>
      <x:c r="B4" t="n">
        <x:f>COUNTIF(MASTER!E2:E86,"OPTIONAL")</x:f>
        <x:v>26</x:v>
      </x:c>
      <x:c r="D4" t="str">
        <x:v>Туалеты и аксессуары</x:v>
      </x:c>
      <x:c r="E4" t="n">
        <x:f>COUNTIF(MASTER!B2:B80,D4)</x:f>
        <x:v>17</x:v>
      </x:c>
      <x:c r="J4" s="12" t="str">
        <x:v>Открытые лотки</x:v>
      </x:c>
      <x:c r="K4" s="12" t="str">
        <x:v>COVERED</x:v>
      </x:c>
      <x:c r="L4" s="12" t="str">
        <x:v>Малый, комплект, высокие ножки, борт/сетка/совок, высокий/крупный, глубокий, большой, угловой.</x:v>
      </x:c>
    </x:row>
    <x:row r="5">
      <x:c r="A5" t="str">
        <x:v>TEST</x:v>
      </x:c>
      <x:c r="B5" t="n">
        <x:f>COUNTIF(MASTER!E2:E86,"TEST")</x:f>
        <x:v>12</x:v>
      </x:c>
      <x:c r="D5" t="str">
        <x:v>Прогулочная гигиена</x:v>
      </x:c>
      <x:c r="E5" t="n">
        <x:f>COUNTIF(MASTER!B2:B80,D5)</x:f>
        <x:v>2</x:v>
      </x:c>
      <x:c r="J5" s="12" t="str">
        <x:v>Крытые туалеты</x:v>
      </x:c>
      <x:c r="K5" s="12" t="str">
        <x:v>COVERED</x:v>
      </x:c>
      <x:c r="L5" s="12" t="str">
        <x:v>Базовые ZooM + 1 активный TEST MPS KOMODA; дорогой BUXO отложен.</x:v>
      </x:c>
    </x:row>
    <x:row r="6">
      <x:c r="A6" t="str">
        <x:v>EXIT</x:v>
      </x:c>
      <x:c r="B6" t="n">
        <x:f>COUNTIF(MASTER!E2:E86,"EXIT")</x:f>
        <x:v>2</x:v>
      </x:c>
      <x:c r="D6" t="str">
        <x:v>Пеленки</x:v>
      </x:c>
      <x:c r="E6" t="n">
        <x:f>COUNTIF(MASTER!B2:B80,D6)</x:f>
        <x:v>6</x:v>
      </x:c>
      <x:c r="J6" s="12" t="str">
        <x:v>Совки</x:v>
      </x:c>
      <x:c r="K6" s="12" t="str">
        <x:v>COVERED</x:v>
      </x:c>
      <x:c r="L6" s="12" t="str">
        <x:v>Базовый + улучшенный, без цветовых дублей.</x:v>
      </x:c>
    </x:row>
    <x:row r="7">
      <x:c r="A7" t="str">
        <x:v>Текущие наполнители из старого MASTER</x:v>
      </x:c>
      <x:c r="B7" t="n">
        <x:v>36</x:v>
      </x:c>
      <x:c r="J7" s="12" t="str">
        <x:v>Коврик перед туалетом</x:v>
      </x:c>
      <x:c r="K7" s="12" t="str">
        <x:v>COVERED</x:v>
      </x:c>
      <x:c r="L7" s="12" t="str">
        <x:v>IMAC ICA300 — TEST 1 шт.</x:v>
      </x:c>
    </x:row>
    <x:row r="8">
      <x:c r="A8" t="str">
        <x:v>Premium Pet текущие наполнители</x:v>
      </x:c>
      <x:c r="B8" t="n">
        <x:v>6</x:v>
      </x:c>
      <x:c r="D8" s="43" t="str">
        <x:v>TEST: запуск сейчас</x:v>
      </x:c>
      <x:c r="E8" s="43" t="str">
        <x:v>Почему</x:v>
      </x:c>
      <x:c r="J8" s="12" t="str">
        <x:v>Фильтры/расходники туалетов</x:v>
      </x:c>
      <x:c r="K8" s="12" t="str">
        <x:v>CONDITIONAL</x:v>
      </x:c>
      <x:c r="L8" s="12" t="str">
        <x:v>Фильтр IMAC только при подтверждённой совместимой модели; не заводить сам по себе.</x:v>
      </x:c>
    </x:row>
    <x:row r="9">
      <x:c r="A9" t="str">
        <x:v>Новые наполнители TEST</x:v>
      </x:c>
      <x:c r="B9" t="n">
        <x:v>3</x:v>
      </x:c>
      <x:c r="D9" s="12" t="str">
        <x:v>SAVANNA FIELD CORN</x:v>
      </x:c>
      <x:c r="E9" s="12" t="str">
        <x:v>Высокий потенциал: сильный спрос на растительные наполнители + новая смываемая функция</x:v>
      </x:c>
      <x:c r="J9" s="12" t="str">
        <x:v>Запах/присыпка</x:v>
      </x:c>
      <x:c r="K9" s="12" t="str">
        <x:v>COVERED</x:v>
      </x:c>
      <x:c r="L9" s="12" t="str">
        <x:v>Текущий порошок Mr.Fresh + 1 новый формат Premium Pet; остальные премиальные дубли отложены.</x:v>
      </x:c>
    </x:row>
    <x:row r="10">
      <x:c r="A10" t="str">
        <x:v>PrettyCat</x:v>
      </x:c>
      <x:c r="B10" t="str">
        <x:v>ИСКЛЮЧЕН</x:v>
      </x:c>
      <x:c r="D10" s="12" t="str">
        <x:v>Premium Pet 3D MIX</x:v>
      </x:c>
      <x:c r="E10" s="12" t="str">
        <x:v>Средне-высокий: сильная база тофу, функционально отличается</x:v>
      </x:c>
      <x:c r="J10" s="12" t="str">
        <x:v>Метки/очистка лотка</x:v>
      </x:c>
      <x:c r="K10" s="12" t="str">
        <x:v>COVERED</x:v>
      </x:c>
      <x:c r="L10" s="12" t="str">
        <x:v>Функция есть; новые дубли не запускаются одновременно.</x:v>
      </x:c>
    </x:row>
    <x:row r="11">
      <x:c r="A11" t="str">
        <x:v>Статус</x:v>
      </x:c>
      <x:c r="B11" t="str">
        <x:v>ПОЛНЫЙ АУДИТ — ГОТОВО К OWNER APPROVAL</x:v>
      </x:c>
      <x:c r="D11" s="12" t="str">
        <x:v>Premium Pet 901604 таблетки</x:v>
      </x:c>
      <x:c r="E11" s="12" t="str">
        <x:v>Средний: один новый формат против запаха, минимальный тест</x:v>
      </x:c>
      <x:c r="J11" s="12" t="str">
        <x:v>Приучение к туалету</x:v>
      </x:c>
      <x:c r="K11" s="12" t="str">
        <x:v>COVERED</x:v>
      </x:c>
      <x:c r="L11" s="12" t="str">
        <x:v>Animal Play — подтверждённые продажи.</x:v>
      </x:c>
    </x:row>
    <x:row r="12">
      <x:c r="D12" s="12" t="str">
        <x:v>MPS KOMODA</x:v>
      </x:c>
      <x:c r="E12" s="12" t="str">
        <x:v>Средний: 1 шт. как следующий ценовой уровень крытого туалета</x:v>
      </x:c>
      <x:c r="J12" s="12" t="str">
        <x:v>Отучение гадить</x:v>
      </x:c>
      <x:c r="K12" s="12" t="str">
        <x:v>COVERED</x:v>
      </x:c>
      <x:c r="L12" s="12" t="str">
        <x:v>Animal Play CORE; дорогой дублирующий Mr.Fresh — EXIT.</x:v>
      </x:c>
    </x:row>
    <x:row r="13">
      <x:c r="A13" s="12" t="str">
        <x:v>TEST — старт сейчас</x:v>
      </x:c>
      <x:c r="B13" s="12" t="n">
        <x:f>COUNTIFS(MASTER!E2:E86,"TEST",MASTER!AA2:AA86,"ДА")</x:f>
        <x:v>6</x:v>
      </x:c>
      <x:c r="D13" s="12" t="str">
        <x:v>IMAC ICA300 коврик</x:v>
      </x:c>
      <x:c r="E13" s="12" t="str">
        <x:v>Средний: понятный cross-sell к наполнителю, 1 шт.</x:v>
      </x:c>
      <x:c r="J13" s="12" t="str">
        <x:v>Приучение к когтеточке</x:v>
      </x:c>
      <x:c r="K13" s="12" t="str">
        <x:v>COVERED</x:v>
      </x:c>
      <x:c r="L13" s="12" t="str">
        <x:v>Mr.Fresh F413 — OPTIONAL.</x:v>
      </x:c>
    </x:row>
    <x:row r="14">
      <x:c r="A14" s="12" t="str">
        <x:v>TEST — отложить</x:v>
      </x:c>
      <x:c r="B14" s="12" t="n">
        <x:f>COUNTIFS(MASTER!E2:E86,"TEST",MASTER!AA2:AA86,"НЕТ")</x:f>
        <x:v>6</x:v>
      </x:c>
      <x:c r="D14" s="12" t="str">
        <x:v>Mr.Kranch MKR543271</x:v>
      </x:c>
      <x:c r="E14" s="12" t="str">
        <x:v>Средне-высокий: дополняет уже продающиеся сменные пакеты</x:v>
      </x:c>
      <x:c r="J14" s="12" t="str">
        <x:v>Сменные пакеты для выгула</x:v>
      </x:c>
      <x:c r="K14" s="12" t="str">
        <x:v>COVERED</x:v>
      </x:c>
      <x:c r="L14" s="12" t="str">
        <x:v>Айда Гулять! — текущий расходник.</x:v>
      </x:c>
    </x:row>
    <x:row r="15">
      <x:c r="A15" s="12" t="str">
        <x:v>БЫСТРАЯ оборачиваемость</x:v>
      </x:c>
      <x:c r="B15" s="12" t="n">
        <x:f>COUNTIF(MASTER!X2:X86,"БЫСТРАЯ")</x:f>
        <x:v>13</x:v>
      </x:c>
      <x:c r="D15" s="12" t="str">
        <x:v>Остальные TEST</x:v>
      </x:c>
      <x:c r="E15" s="12" t="str">
        <x:v>ОТЛОЖИТЬ до результатов первых тестов</x:v>
      </x:c>
      <x:c r="J15" s="12" t="str">
        <x:v>Диспенсер для пакетов</x:v>
      </x:c>
      <x:c r="K15" s="12" t="str">
        <x:v>COVERED</x:v>
      </x:c>
      <x:c r="L15" s="12" t="str">
        <x:v>Mr.Kranch — TEST.</x:v>
      </x:c>
    </x:row>
    <x:row r="16">
      <x:c r="A16" s="12" t="str">
        <x:v>ХОРОШАЯ оборачиваемость</x:v>
      </x:c>
      <x:c r="B16" s="12" t="n">
        <x:f>COUNTIF(MASTER!X2:X86,"ХОРОШАЯ")</x:f>
        <x:v>16</x:v>
      </x:c>
      <x:c r="J16" s="12" t="str">
        <x:v>Пелёнки</x:v>
      </x:c>
      <x:c r="K16" s="12" t="str">
        <x:v>COVERED</x:v>
      </x:c>
      <x:c r="L16" s="12" t="str">
        <x:v>Компактная размерная лестница; громоздкие 100-шт пачки не включены.</x:v>
      </x:c>
    </x:row>
    <x:row r="17">
      <x:c r="A17" s="12" t="str">
        <x:v>УМЕРЕННАЯ оборачиваемость</x:v>
      </x:c>
      <x:c r="B17" s="12" t="n">
        <x:f>COUNTIF(MASTER!X2:X86,"УМЕРЕННАЯ")</x:f>
        <x:v>25</x:v>
      </x:c>
      <x:c r="J17" s="12" t="str">
        <x:v>Грызуны: базовая подстилка</x:v>
      </x:c>
      <x:c r="K17" s="12" t="str">
        <x:v>COVERED</x:v>
      </x:c>
      <x:c r="L17" s="12" t="str">
        <x:v>Кукурузный 86132 + опилки 86008 — сильные фактические продажи.</x:v>
      </x:c>
    </x:row>
    <x:row r="18">
      <x:c r="A18" s="12" t="str">
        <x:v>МЕДЛЕННАЯ оборачиваемость</x:v>
      </x:c>
      <x:c r="B18" s="12" t="n">
        <x:f>COUNTIF(MASTER!X2:X86,"МЕДЛЕННАЯ")</x:f>
        <x:v>12</x:v>
      </x:c>
      <x:c r="G18" s="43" t="str">
        <x:v>Доп. виды</x:v>
      </x:c>
      <x:c r="H18" s="43" t="str">
        <x:v>SKU</x:v>
      </x:c>
      <x:c r="J18" s="12" t="str">
        <x:v>Шиншиллы: песок</x:v>
      </x:c>
      <x:c r="K18" s="12" t="str">
        <x:v>COVERED</x:v>
      </x:c>
      <x:c r="L18" s="12" t="str">
        <x:v>Вака 56397 найден и включён.</x:v>
      </x:c>
    </x:row>
    <x:row r="19">
      <x:c r="A19" s="12" t="str">
        <x:v>НЕТ ИСТОРИИ</x:v>
      </x:c>
      <x:c r="B19" s="12" t="n">
        <x:f>COUNTIF(MASTER!X2:X86,"НЕТ ИСТОРИИ")</x:f>
        <x:v>16</x:v>
      </x:c>
      <x:c r="G19" s="12" t="str">
        <x:v>Грызуны/шиншиллы</x:v>
      </x:c>
      <x:c r="H19" s="12" t="n">
        <x:f>COUNTIF(MASTER!D2:D86,"Грызуны/хорьки")+COUNTIF(MASTER!D2:D86,"Шиншиллы")</x:f>
        <x:v>6</x:v>
      </x:c>
      <x:c r="J19" s="12" t="str">
        <x:v>Грызуны: дорогие дубли FIORY</x:v>
      </x:c>
      <x:c r="K19" s="12" t="str">
        <x:v>CONTROLLED</x:v>
      </x:c>
      <x:c r="L19" s="12" t="str">
        <x:v>Woody не пополнять до продажи остатка; Maislitter не вводить.</x:v>
      </x:c>
    </x:row>
    <x:row r="20">
      <x:c r="A20" s="12" t="str">
        <x:v>Правило</x:v>
      </x:c>
      <x:c r="B20" s="12" t="str">
        <x:v>Скорость/мес отдельно от статуса CORE/OPTIONAL</x:v>
      </x:c>
      <x:c r="G20" s="12" t="str">
        <x:v>Птицы — подтвержденный субстрат</x:v>
      </x:c>
      <x:c r="H20" s="12" t="n">
        <x:v>0</x:v>
      </x:c>
      <x:c r="J20" s="12" t="str">
        <x:v>Птицы: песок/субстрат</x:v>
      </x:c>
      <x:c r="K20" s="12" t="str">
        <x:v>GAP</x:v>
      </x:c>
      <x:c r="L20" s="12" t="str">
        <x:v>Конкретный SKU в проверенных источниках не подтверждён. Ничего не выдумывать; нужен свежий прайс Зооград/Оникиенко.</x:v>
      </x:c>
    </x:row>
    <x:row r="21">
      <x:c r="G21" s="12" t="str">
        <x:v>Птицы — статус</x:v>
      </x:c>
      <x:c r="H21" s="12" t="str">
        <x:v>GAP: нужен SKU из свежего прайса</x:v>
      </x:c>
      <x:c r="J21" s="12" t="str">
        <x:v>Купалка/ванночка для птиц</x:v>
      </x:c>
      <x:c r="K21" s="12" t="str">
        <x:v>GAP / НЕ ПОДТВЕРЖДЕНО</x:v>
      </x:c>
      <x:c r="L21" s="12" t="str">
        <x:v>В проверенных источниках SKU не найден. Не блокирует текущий MASTER, но стоит проверить свежий прайс.</x:v>
      </x:c>
    </x:row>
    <x:row r="22">
      <x:c r="J22" s="12" t="str">
        <x:v>Туалет/угловой лоток для грызунов</x:v>
      </x:c>
      <x:c r="K22" s="12" t="str">
        <x:v>GAP / НЕ ПОДТВЕРЖДЕНО</x:v>
      </x:c>
      <x:c r="L22" s="12" t="str">
        <x:v>В проверенных источниках SKU не найден. Добавлять только при наличии реального поставщика и понятной цены.</x:v>
      </x:c>
    </x:row>
    <x:row r="23">
      <x:c r="J23" s="12" t="str">
        <x:v>Средство для очистки клеток</x:v>
      </x:c>
      <x:c r="K23" s="12" t="str">
        <x:v>GAP / НЕ ПОДТВЕРЖДЕНО</x:v>
      </x:c>
      <x:c r="L23" s="12" t="str">
        <x:v>Специальный SKU для клеток не найден. Общие бытовые очистители сюда не подмешивать.</x:v>
      </x:c>
    </x:row>
    <x:row r="24">
      <x:c r="J24" s="12" t="str">
        <x:v>Сено</x:v>
      </x:c>
      <x:c r="K24" s="12" t="str">
        <x:v>OUT OF SCOPE</x:v>
      </x:c>
      <x:c r="L24" s="12" t="str">
        <x:v>Есть продажи, но это кормовой/фуражный товар — будущая матрица грызунов, не гигиена.</x:v>
      </x:c>
    </x:row>
    <x:row r="25">
      <x:c r="J25" s="12" t="str">
        <x:v>Корм/лакомства/минкамни птиц</x:v>
      </x:c>
      <x:c r="K25" s="12" t="str">
        <x:v>OUT OF SCOPE</x:v>
      </x:c>
      <x:c r="L25" s="12" t="str">
        <x:v>Не относятся к этой матрице; будут в отдельной матрице птиц.</x:v>
      </x:c>
    </x:row>
  </x:sheetData>
  <x:conditionalFormatting sqref="K2:K25">
    <x:cfRule type="expression" dxfId="12" priority="1">
      <x:formula>K2="COVERED"</x:formula>
    </x:cfRule>
    <x:cfRule type="expression" dxfId="13" priority="2">
      <x:formula>LEFT(K2,3)="GAP"</x:formula>
    </x:cfRule>
    <x:cfRule type="expression" dxfId="14" priority="3">
      <x:formula>K2="OUT OF SCOPE"</x:formula>
    </x:cfRule>
    <x:cfRule type="expression" dxfId="15" priority="4">
      <x:formula>K2="CONDITIONAL"</x:formula>
    </x:cfRule>
    <x:cfRule type="expression" dxfId="16" priority="5">
      <x:formula>K2="CONTROLLED"</x:formula>
    </x:cfRule>
  </x:conditionalFormatting>
  <x:pageMargins left="0.7" right="0.7" top="0.75" bottom="0.75" header="0.3" footer="0.3"/>
  <x:drawing xmlns:r="http://schemas.openxmlformats.org/officeDocument/2006/relationships" r:id="R09b17bb5586946d7"/>
</x:worksheet>
</file>